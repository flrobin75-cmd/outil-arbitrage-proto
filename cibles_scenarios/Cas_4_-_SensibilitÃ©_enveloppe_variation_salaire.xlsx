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1" activeTab="4" autoFilterDateGrouping="1"/>
  </bookViews>
  <sheets>
    <sheet xmlns:r="http://schemas.openxmlformats.org/officeDocument/2006/relationships" name="1. Garde" sheetId="1" state="visible" r:id="rId1"/>
    <sheet xmlns:r="http://schemas.openxmlformats.org/officeDocument/2006/relationships" name="2. Dashboard" sheetId="2" state="visible" r:id="rId2"/>
    <sheet xmlns:r="http://schemas.openxmlformats.org/officeDocument/2006/relationships" name="3. Mode emploi" sheetId="3" state="visible" r:id="rId3"/>
    <sheet xmlns:r="http://schemas.openxmlformats.org/officeDocument/2006/relationships" name="4. Paramètres" sheetId="4" state="visible" r:id="rId4"/>
    <sheet xmlns:r="http://schemas.openxmlformats.org/officeDocument/2006/relationships" name="5. Profil" sheetId="5" state="visible" r:id="rId5"/>
    <sheet xmlns:r="http://schemas.openxmlformats.org/officeDocument/2006/relationships" name="6. Comparateur" sheetId="6" state="visible" r:id="rId6"/>
    <sheet xmlns:r="http://schemas.openxmlformats.org/officeDocument/2006/relationships" name="7. Assimilé salarié" sheetId="7" state="visible" r:id="rId7"/>
    <sheet xmlns:r="http://schemas.openxmlformats.org/officeDocument/2006/relationships" name="8. TNS" sheetId="8" state="visible" r:id="rId8"/>
    <sheet xmlns:r="http://schemas.openxmlformats.org/officeDocument/2006/relationships" name="9. Libéral" sheetId="9" state="visible" r:id="rId9"/>
    <sheet xmlns:r="http://schemas.openxmlformats.org/officeDocument/2006/relationships" name="10. Salarié" sheetId="10" state="visible" r:id="rId10"/>
    <sheet xmlns:r="http://schemas.openxmlformats.org/officeDocument/2006/relationships" name="11. Arbitrage" sheetId="11" state="visible" r:id="rId11"/>
    <sheet xmlns:r="http://schemas.openxmlformats.org/officeDocument/2006/relationships" name="12. Synthèse" sheetId="12" state="visible" r:id="rId12"/>
    <sheet xmlns:r="http://schemas.openxmlformats.org/officeDocument/2006/relationships" name="Scénarios A vs B" sheetId="13" state="visible" r:id="rId13"/>
    <sheet xmlns:r="http://schemas.openxmlformats.org/officeDocument/2006/relationships" name="Détail calcul fiscal" sheetId="14" state="visible" r:id="rId14"/>
    <sheet xmlns:r="http://schemas.openxmlformats.org/officeDocument/2006/relationships" name="13. Sources" sheetId="15" state="visible" r:id="rId15"/>
    <sheet xmlns:r="http://schemas.openxmlformats.org/officeDocument/2006/relationships" name="Tests" sheetId="16" state="visible" r:id="rId16"/>
  </sheets>
  <definedNames>
    <definedName name="AB_DIV">'4. Paramètres'!$C$62</definedName>
    <definedName name="ASSIETTE_CSG_SAL">'4. Paramètres'!$C$23</definedName>
    <definedName name="AUTRES_REV">'5. Profil'!$C$21</definedName>
    <definedName name="BENEFICE_IS">'5. Profil'!$C$28</definedName>
    <definedName name="CAPITAL_TNS">'5. Profil'!$C$16</definedName>
    <definedName name="CASHBACK_BADGE">'5. Profil'!$C$61</definedName>
    <definedName name="CASHBACK_MODE">'5. Profil'!$C$59</definedName>
    <definedName name="CDHR_SEUIL_C">'4. Paramètres'!$C$93</definedName>
    <definedName name="CDHR_SEUIL_C_HAUT">'4. Paramètres'!$C$95</definedName>
    <definedName name="CDHR_SEUIL_M">'4. Paramètres'!$C$94</definedName>
    <definedName name="CDHR_SEUIL_M_HAUT">'4. Paramètres'!$C$96</definedName>
    <definedName name="CDHR_TAUX_PLANCHER">'4. Paramètres'!$C$92</definedName>
    <definedName name="CEHR_SEUIL_C1">'4. Paramètres'!$C$85</definedName>
    <definedName name="CEHR_SEUIL_C2">'4. Paramètres'!$C$86</definedName>
    <definedName name="CEHR_SEUIL_M1">'4. Paramètres'!$C$87</definedName>
    <definedName name="CEHR_SEUIL_M2">'4. Paramètres'!$C$88</definedName>
    <definedName name="CEHR_TX_1">'4. Paramètres'!$C$83</definedName>
    <definedName name="CEHR_TX_2">'4. Paramètres'!$C$84</definedName>
    <definedName name="CLIENT_NAME">'5. Profil'!$C$5</definedName>
    <definedName name="DIVIDENDES_FOYER">'5. Profil'!$C$22</definedName>
    <definedName name="EFFECTIF">'5. Profil'!$C$14</definedName>
    <definedName name="ENVELOPPE">'5. Profil'!$C$27</definedName>
    <definedName name="FORME_JURIDIQUE">'5. Profil'!$C$12</definedName>
    <definedName name="FS_ABO_GE50">'4. Paramètres'!$C$42</definedName>
    <definedName name="FS_ABO_LT50">'4. Paramètres'!$C$41</definedName>
    <definedName name="FS_INT_GE250">'4. Paramètres'!$C$40</definedName>
    <definedName name="FS_INT_LT250">'4. Paramètres'!$C$39</definedName>
    <definedName name="FS_PART_50_249">'4. Paramètres'!$C$37</definedName>
    <definedName name="FS_PART_GE250">'4. Paramètres'!$C$38</definedName>
    <definedName name="FS_PART_LT50">'4. Paramètres'!$C$36</definedName>
    <definedName name="HORIZON_PROJ">'4. Paramètres'!$C$103</definedName>
    <definedName name="IR_PLAFOND_T1">'4. Paramètres'!$C$11</definedName>
    <definedName name="IR_PLAFOND_T2">'4. Paramètres'!$C$12</definedName>
    <definedName name="IR_PLAFOND_T3">'4. Paramètres'!$C$13</definedName>
    <definedName name="IR_PLAFOND_T4">'4. Paramètres'!$C$14</definedName>
    <definedName name="IR_TAUX_T2">'4. Paramètres'!$D$12</definedName>
    <definedName name="IR_TAUX_T3">'4. Paramètres'!$D$13</definedName>
    <definedName name="IR_TAUX_T4">'4. Paramètres'!$D$14</definedName>
    <definedName name="IR_TAUX_T5">'4. Paramètres'!$D$15</definedName>
    <definedName name="IS_PLAF_REDUIT">'4. Paramètres'!$C$69</definedName>
    <definedName name="M_ABO_PEE">'5. Profil'!$C$47</definedName>
    <definedName name="M_ABO_PER">'5. Profil'!$C$48</definedName>
    <definedName name="M_AVANTAGES">'5. Profil'!$C$50</definedName>
    <definedName name="M_CADO">'5. Profil'!$C$53</definedName>
    <definedName name="M_CASHBACK">'5. Profil'!$C$56</definedName>
    <definedName name="M_CESU">'5. Profil'!$C$52</definedName>
    <definedName name="M_IK">'5. Profil'!$C$55</definedName>
    <definedName name="M_INTERESSEMENT">'5. Profil'!$C$46</definedName>
    <definedName name="M_MUTUELLE">'5. Profil'!$C$54</definedName>
    <definedName name="M_PARTICIPATION">'5. Profil'!$C$45</definedName>
    <definedName name="M_PERIN">'5. Profil'!$C$49</definedName>
    <definedName name="M_TR">'5. Profil'!$C$51</definedName>
    <definedName name="MODE_PILOTAGE">'5. Profil'!$C$26</definedName>
    <definedName name="PARTS">'5. Profil'!$C$20</definedName>
    <definedName name="PASS_2025">'4. Paramètres'!$C$6</definedName>
    <definedName name="PLAF_QF_DEMI_PART">'4. Paramètres'!$C$74</definedName>
    <definedName name="PLAF_QF_INVALIDE">'4. Paramètres'!$C$78</definedName>
    <definedName name="PLAF_QF_PARENT_ISOLE">'4. Paramètres'!$C$75</definedName>
    <definedName name="PLAF_QF_PERS_SEULE_L">'4. Paramètres'!$C$76</definedName>
    <definedName name="PLAF_QF_VEUF">'4. Paramètres'!$C$77</definedName>
    <definedName name="RDT_CASH">'4. Paramètres'!$C$102</definedName>
    <definedName name="RDT_EPARGNE">'4. Paramètres'!$C$101</definedName>
    <definedName name="REGIME_SOCIAL">'5. Profil'!$C$13</definedName>
    <definedName name="RISK_ABO_PEE">'4. Paramètres'!$C$111</definedName>
    <definedName name="RISK_ABO_PER">'4. Paramètres'!$C$112</definedName>
    <definedName name="RISK_AVANTAGES">'4. Paramètres'!$C$114</definedName>
    <definedName name="RISK_CADO">'4. Paramètres'!$C$117</definedName>
    <definedName name="RISK_CASHBACK">'5. Profil'!$C$60</definedName>
    <definedName name="RISK_CASHBACK_CONFORME">'4. Paramètres'!$C$120</definedName>
    <definedName name="RISK_CASHBACK_STANDARD">'4. Paramètres'!$C$121</definedName>
    <definedName name="RISK_CESU">'4. Paramètres'!$C$116</definedName>
    <definedName name="RISK_DIVIDENDES">'4. Paramètres'!$C$108</definedName>
    <definedName name="RISK_IK">'4. Paramètres'!$C$119</definedName>
    <definedName name="RISK_INTERESSEMENT">'4. Paramètres'!$C$110</definedName>
    <definedName name="RISK_MUTUELLE">'4. Paramètres'!$C$118</definedName>
    <definedName name="RISK_PARTICIPATION">'4. Paramètres'!$C$109</definedName>
    <definedName name="RISK_PERIN">'4. Paramètres'!$C$113</definedName>
    <definedName name="RISK_SALAIRE">'4. Paramètres'!$C$107</definedName>
    <definedName name="RISK_TR">'4. Paramètres'!$C$115</definedName>
    <definedName name="SEUIL_DIV_TNS">'4. Paramètres'!$C$63</definedName>
    <definedName name="SITUATION">'5. Profil'!$C$19</definedName>
    <definedName name="SITUATION_PART">'5. Profil'!$C$23</definedName>
    <definedName name="TOG_ABO_PEE">'5. Profil'!$C$33</definedName>
    <definedName name="TOG_ABO_PER">'5. Profil'!$C$34</definedName>
    <definedName name="TOG_AVANTAGES">'5. Profil'!$C$36</definedName>
    <definedName name="TOG_CADO">'5. Profil'!$C$39</definedName>
    <definedName name="TOG_CASHBACK">'5. Profil'!$C$42</definedName>
    <definedName name="TOG_CESU">'5. Profil'!$C$38</definedName>
    <definedName name="TOG_IK">'5. Profil'!$C$41</definedName>
    <definedName name="TOG_INTERESSEMENT">'5. Profil'!$C$32</definedName>
    <definedName name="TOG_MUTUELLE">'5. Profil'!$C$40</definedName>
    <definedName name="TOG_PARTICIPATION">'5. Profil'!$C$31</definedName>
    <definedName name="TOG_PERIN">'5. Profil'!$C$35</definedName>
    <definedName name="TOG_TR">'5. Profil'!$C$37</definedName>
    <definedName name="TX_CSG_CRDS_ACT">'4. Paramètres'!$C$22</definedName>
    <definedName name="TX_IR_MOY_ASS">'7. Assimilé salarié'!$C$33</definedName>
    <definedName name="TX_IR_MOY_LIB">'9. Libéral'!$C$30</definedName>
    <definedName name="TX_IR_MOY_SAL">'10. Salarié'!$C$29</definedName>
    <definedName name="TX_IR_MOY_TNS">'8. TNS'!$C$31</definedName>
    <definedName name="TX_IS_NORMAL">'4. Paramètres'!$C$68</definedName>
    <definedName name="TX_IS_REDUIT">'4. Paramètres'!$C$67</definedName>
    <definedName name="TX_LIB">'4. Paramètres'!$C$32</definedName>
    <definedName name="TX_PATRONAL">'4. Paramètres'!$C$29</definedName>
    <definedName name="TX_PFU">'4. Paramètres'!$C$60</definedName>
    <definedName name="TX_PS_CAPITAL">'4. Paramètres'!$C$25</definedName>
    <definedName name="TX_SALARIAL">'4. Paramètres'!$C$30</definedName>
    <definedName name="TX_TNS">'4. Paramètres'!$C$31</definedName>
    <definedName name="_xlnm.Print_Titles" localSheetId="5">'6. Comparateur'!$1:$10</definedName>
  </definedNames>
  <calcPr calcId="191029" fullCalcOnLoad="1" iterateDelta="0.0001"/>
</workbook>
</file>

<file path=xl/styles.xml><?xml version="1.0" encoding="utf-8"?>
<styleSheet xmlns="http://schemas.openxmlformats.org/spreadsheetml/2006/main">
  <numFmts count="8">
    <numFmt numFmtId="164" formatCode="0.0%;[Red]\(0.0%\);\-"/>
    <numFmt numFmtId="165" formatCode="#,##0&quot; €&quot;;[Red]\(#,##0&quot; €)&quot;;\-"/>
    <numFmt numFmtId="166" formatCode="0.00%;[Red]\(0.00%\);\-"/>
    <numFmt numFmtId="167" formatCode="[&gt;=100000000000]\∞;#,##0&quot; €&quot;"/>
    <numFmt numFmtId="168" formatCode="0.0"/>
    <numFmt numFmtId="169" formatCode="\+#,##0&quot; €&quot;;\-#,##0&quot; €&quot;;0&quot; €&quot;"/>
    <numFmt numFmtId="170" formatCode="\+#,##0&quot; €&quot;;\-#,##0&quot; €&quot;;\-"/>
    <numFmt numFmtId="171" formatCode="\+00\ %;\-00\ %;00\ %"/>
  </numFmts>
  <fonts count="23">
    <font>
      <name val="Calibri"/>
      <charset val="1"/>
      <family val="2"/>
      <color theme="1"/>
      <sz val="11"/>
    </font>
    <font>
      <name val="Calibri"/>
      <charset val="1"/>
      <b val="1"/>
      <color rgb="FF1F3864"/>
      <sz val="22"/>
    </font>
    <font>
      <name val="Calibri"/>
      <charset val="1"/>
      <b val="1"/>
      <color rgb="FF1F3864"/>
      <sz val="14"/>
    </font>
    <font>
      <name val="Calibri"/>
      <charset val="1"/>
      <i val="1"/>
      <color rgb="FF595959"/>
      <sz val="9"/>
    </font>
    <font>
      <name val="Calibri"/>
      <charset val="1"/>
      <sz val="10"/>
    </font>
    <font>
      <name val="Calibri"/>
      <charset val="1"/>
      <b val="1"/>
      <sz val="10"/>
    </font>
    <font>
      <name val="Calibri"/>
      <charset val="1"/>
      <b val="1"/>
      <color rgb="FFFFFFFF"/>
      <sz val="12"/>
    </font>
    <font>
      <name val="Calibri"/>
      <charset val="1"/>
      <color rgb="FF0563C1"/>
      <sz val="10"/>
      <u val="single"/>
    </font>
    <font>
      <name val="Calibri"/>
      <charset val="1"/>
      <i val="1"/>
      <color rgb="FF7F7F7F"/>
      <sz val="9"/>
    </font>
    <font>
      <name val="Calibri"/>
      <charset val="1"/>
      <b val="1"/>
      <color rgb="FF1F3864"/>
      <sz val="20"/>
    </font>
    <font>
      <name val="Calibri"/>
      <charset val="1"/>
      <b val="1"/>
      <color rgb="FFFFFFFF"/>
      <sz val="10"/>
    </font>
    <font>
      <name val="Calibri"/>
      <charset val="1"/>
      <b val="1"/>
      <color rgb="FF1F3864"/>
      <sz val="10"/>
    </font>
    <font>
      <name val="Calibri"/>
      <charset val="1"/>
      <color rgb="FF0000FF"/>
      <sz val="10"/>
    </font>
    <font>
      <name val="Calibri"/>
      <charset val="1"/>
      <i val="1"/>
      <color rgb="FF1F3864"/>
      <sz val="12"/>
    </font>
    <font>
      <name val="Calibri"/>
      <charset val="1"/>
      <b val="1"/>
      <sz val="20"/>
    </font>
    <font>
      <name val="Calibri"/>
      <charset val="1"/>
      <b val="1"/>
      <color rgb="FF00B050"/>
      <sz val="12"/>
    </font>
    <font>
      <name val="Calibri"/>
      <charset val="1"/>
      <i val="1"/>
      <color rgb="FF1F3864"/>
      <sz val="10"/>
    </font>
    <font>
      <name val="Calibri"/>
      <charset val="1"/>
      <b val="1"/>
      <color rgb="FFC00000"/>
      <sz val="10"/>
    </font>
    <font>
      <name val="Calibri"/>
      <charset val="1"/>
      <color rgb="FF000000"/>
      <sz val="10"/>
    </font>
    <font>
      <name val="Calibri"/>
      <charset val="1"/>
      <color rgb="FF006100"/>
      <sz val="10"/>
    </font>
    <font>
      <name val="Calibri"/>
      <charset val="1"/>
      <b val="1"/>
      <sz val="14"/>
    </font>
    <font>
      <name val="Calibri"/>
      <charset val="1"/>
      <b val="1"/>
      <color rgb="FFFFFFFF"/>
      <sz val="11"/>
    </font>
    <font>
      <name val="Calibri"/>
      <family val="2"/>
      <b val="1"/>
      <color theme="0"/>
      <sz val="10"/>
    </font>
  </fonts>
  <fills count="18">
    <fill>
      <patternFill/>
    </fill>
    <fill>
      <patternFill patternType="gray125"/>
    </fill>
    <fill>
      <patternFill patternType="solid">
        <fgColor rgb="FFF2F2F2"/>
        <bgColor rgb="FFF9F9F9"/>
      </patternFill>
    </fill>
    <fill>
      <patternFill patternType="solid">
        <fgColor rgb="FFD9E1F2"/>
        <bgColor rgb="FFD9D9D9"/>
      </patternFill>
    </fill>
    <fill>
      <patternFill patternType="solid">
        <fgColor rgb="FF1F3864"/>
        <bgColor rgb="FF003300"/>
      </patternFill>
    </fill>
    <fill>
      <patternFill patternType="solid">
        <fgColor rgb="FF00B050"/>
        <bgColor rgb="FF548235"/>
      </patternFill>
    </fill>
    <fill>
      <patternFill patternType="solid">
        <fgColor rgb="FFE2EFDA"/>
        <bgColor rgb="FFF2F2F2"/>
      </patternFill>
    </fill>
    <fill>
      <patternFill patternType="solid">
        <fgColor rgb="FFFFF2CC"/>
        <bgColor rgb="FFFCE4D6"/>
      </patternFill>
    </fill>
    <fill>
      <patternFill patternType="solid">
        <fgColor rgb="FFFFD700"/>
        <bgColor rgb="FFFFE699"/>
      </patternFill>
    </fill>
    <fill>
      <patternFill patternType="solid">
        <fgColor rgb="FFC0C0C0"/>
        <bgColor rgb="FFDDB5B5"/>
      </patternFill>
    </fill>
    <fill>
      <patternFill patternType="solid">
        <fgColor rgb="FFCD7F32"/>
        <bgColor rgb="FFED7D31"/>
      </patternFill>
    </fill>
    <fill>
      <patternFill patternType="solid">
        <fgColor rgb="FFFCE4D6"/>
        <bgColor rgb="FFFFF2CC"/>
      </patternFill>
    </fill>
    <fill>
      <patternFill patternType="solid">
        <fgColor rgb="FFFFE699"/>
        <bgColor rgb="FFFFEB9C"/>
      </patternFill>
    </fill>
    <fill>
      <patternFill patternType="solid">
        <fgColor rgb="FFBDD7EE"/>
        <bgColor rgb="FFD9D9D9"/>
      </patternFill>
    </fill>
    <fill>
      <patternFill patternType="solid">
        <fgColor rgb="FFF4CCCC"/>
        <bgColor rgb="FFFFC7CE"/>
      </patternFill>
    </fill>
    <fill>
      <patternFill patternType="solid">
        <fgColor rgb="FFEA9999"/>
        <bgColor rgb="FFCC8F8E"/>
      </patternFill>
    </fill>
    <fill>
      <patternFill patternType="solid">
        <fgColor rgb="FFFFC7CE"/>
        <bgColor rgb="FFF4CCCC"/>
      </patternFill>
    </fill>
    <fill>
      <patternFill patternType="solid">
        <fgColor rgb="FFFFEB9C"/>
        <bgColor rgb="FFFFE699"/>
      </patternFill>
    </fill>
  </fills>
  <borders count="18">
    <border>
      <left/>
      <right/>
      <top/>
      <bottom/>
      <diagonal/>
    </border>
    <border>
      <left style="thin">
        <color rgb="FFA6A6A6"/>
      </left>
      <right style="thin">
        <color rgb="FFA6A6A6"/>
      </right>
      <top style="thin">
        <color rgb="FFA6A6A6"/>
      </top>
      <bottom style="thin">
        <color rgb="FFA6A6A6"/>
      </bottom>
      <diagonal/>
    </border>
    <border>
      <left style="medium">
        <color rgb="FF1F3864"/>
      </left>
      <right style="medium">
        <color rgb="FF1F3864"/>
      </right>
      <top style="medium">
        <color rgb="FF1F3864"/>
      </top>
      <bottom style="medium">
        <color rgb="FF1F3864"/>
      </bottom>
      <diagonal/>
    </border>
    <border>
      <left style="thin">
        <color rgb="FFA6A6A6"/>
      </left>
      <right/>
      <top style="thin">
        <color rgb="FFA6A6A6"/>
      </top>
      <bottom style="thin">
        <color rgb="FFA6A6A6"/>
      </bottom>
      <diagonal/>
    </border>
    <border>
      <left style="medium">
        <color rgb="FF1F3864"/>
      </left>
      <right/>
      <top style="medium">
        <color rgb="FF1F3864"/>
      </top>
      <bottom style="medium">
        <color rgb="FF1F3864"/>
      </bottom>
      <diagonal/>
    </border>
    <border>
      <left style="medium">
        <color rgb="FF1F3864"/>
      </left>
      <right/>
      <top style="medium">
        <color rgb="FF1F3864"/>
      </top>
      <bottom/>
      <diagonal/>
    </border>
    <border>
      <left/>
      <right/>
      <top style="thin">
        <color rgb="FFA6A6A6"/>
      </top>
      <bottom/>
      <diagonal/>
    </border>
    <border>
      <left style="thin">
        <color rgb="FFA6A6A6"/>
      </left>
      <right/>
      <top/>
      <bottom/>
      <diagonal/>
    </border>
    <border>
      <left/>
      <right style="thin">
        <color rgb="FFA6A6A6"/>
      </right>
      <top style="thin">
        <color rgb="FFA6A6A6"/>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
      <left/>
      <right/>
      <top style="medium">
        <color rgb="FF1F3864"/>
      </top>
      <bottom/>
      <diagonal/>
    </border>
    <border>
      <left/>
      <right/>
      <top style="medium">
        <color rgb="FF1F3864"/>
      </top>
      <bottom style="medium">
        <color rgb="FF1F3864"/>
      </bottom>
      <diagonal/>
    </border>
    <border>
      <left style="medium">
        <color rgb="FF1F3864"/>
      </left>
      <right/>
      <top/>
      <bottom/>
      <diagonal/>
    </border>
  </borders>
  <cellStyleXfs count="1">
    <xf numFmtId="0" fontId="0" fillId="0" borderId="0"/>
  </cellStyleXfs>
  <cellXfs count="226">
    <xf numFmtId="0" fontId="0" fillId="0" borderId="0" pivotButton="0" quotePrefix="0" xfId="0"/>
    <xf numFmtId="49" fontId="12" fillId="7" borderId="1" applyAlignment="1" pivotButton="0" quotePrefix="0" xfId="0">
      <alignment vertical="center"/>
    </xf>
    <xf numFmtId="0" fontId="5" fillId="0" borderId="0" applyAlignment="1" pivotButton="0" quotePrefix="0" xfId="0">
      <alignment horizontal="left" vertical="center"/>
    </xf>
    <xf numFmtId="0" fontId="4" fillId="3" borderId="1" applyAlignment="1" pivotButton="0" quotePrefix="0" xfId="0">
      <alignment vertical="center"/>
    </xf>
    <xf numFmtId="0" fontId="5" fillId="0" borderId="1" applyAlignment="1" pivotButton="0" quotePrefix="0" xfId="0">
      <alignment vertical="center"/>
    </xf>
    <xf numFmtId="14" fontId="5" fillId="0" borderId="1" applyAlignment="1" pivotButton="0" quotePrefix="0" xfId="0">
      <alignment vertical="center"/>
    </xf>
    <xf numFmtId="0" fontId="3" fillId="0" borderId="1" applyAlignment="1" pivotButton="0" quotePrefix="0" xfId="0">
      <alignment horizontal="left" vertical="center" wrapText="1"/>
    </xf>
    <xf numFmtId="0" fontId="7" fillId="0" borderId="1" applyAlignment="1" pivotButton="0" quotePrefix="0" xfId="0">
      <alignment horizontal="left" vertical="center"/>
    </xf>
    <xf numFmtId="0" fontId="3" fillId="0" borderId="1" applyAlignment="1" pivotButton="0" quotePrefix="0" xfId="0">
      <alignment horizontal="left" vertical="center"/>
    </xf>
    <xf numFmtId="0" fontId="7" fillId="0" borderId="0" applyAlignment="1" pivotButton="0" quotePrefix="0" xfId="0">
      <alignment horizontal="right" vertical="center"/>
    </xf>
    <xf numFmtId="0" fontId="3" fillId="0" borderId="0" applyAlignment="1" pivotButton="0" quotePrefix="0" xfId="0">
      <alignment horizontal="right" vertical="center"/>
    </xf>
    <xf numFmtId="14" fontId="5" fillId="0" borderId="0" applyAlignment="1" pivotButton="0" quotePrefix="0" xfId="0">
      <alignment horizontal="left" vertical="center"/>
    </xf>
    <xf numFmtId="0" fontId="11" fillId="3" borderId="1" applyAlignment="1" pivotButton="0" quotePrefix="0" xfId="0">
      <alignment horizontal="left" vertical="center"/>
    </xf>
    <xf numFmtId="0" fontId="5" fillId="6" borderId="2" applyAlignment="1" pivotButton="0" quotePrefix="0" xfId="0">
      <alignment horizontal="center" vertical="center" wrapText="1"/>
    </xf>
    <xf numFmtId="0" fontId="3" fillId="0" borderId="0" applyAlignment="1" pivotButton="0" quotePrefix="0" xfId="0">
      <alignment horizontal="left" vertical="center"/>
    </xf>
    <xf numFmtId="0" fontId="3" fillId="2" borderId="1" applyAlignment="1" pivotButton="0" quotePrefix="0" xfId="0">
      <alignment horizontal="left" vertical="center"/>
    </xf>
    <xf numFmtId="0" fontId="14" fillId="8" borderId="1" applyAlignment="1" pivotButton="0" quotePrefix="0" xfId="0">
      <alignment horizontal="center" vertical="center" wrapText="1"/>
    </xf>
    <xf numFmtId="164" fontId="5" fillId="0" borderId="1" applyAlignment="1" pivotButton="0" quotePrefix="0" xfId="0">
      <alignment horizontal="center" vertical="center" wrapText="1"/>
    </xf>
    <xf numFmtId="2" fontId="3" fillId="0"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5" fillId="3" borderId="1" applyAlignment="1" pivotButton="0" quotePrefix="0" xfId="0">
      <alignment horizontal="center" vertical="center" wrapText="1"/>
    </xf>
    <xf numFmtId="0" fontId="15" fillId="0" borderId="1" applyAlignment="1" pivotButton="0" quotePrefix="0" xfId="0">
      <alignment horizontal="center" vertical="center" wrapText="1"/>
    </xf>
    <xf numFmtId="165" fontId="4" fillId="0" borderId="1" applyAlignment="1" pivotButton="0" quotePrefix="0" xfId="0">
      <alignment horizontal="right" vertical="center"/>
    </xf>
    <xf numFmtId="0" fontId="5" fillId="0" borderId="1" applyAlignment="1" pivotButton="0" quotePrefix="0" xfId="0">
      <alignment horizontal="center" vertical="center" wrapText="1"/>
    </xf>
    <xf numFmtId="0" fontId="15" fillId="11" borderId="1" applyAlignment="1" pivotButton="0" quotePrefix="0" xfId="0">
      <alignment horizontal="center" vertical="center" wrapText="1"/>
    </xf>
    <xf numFmtId="165" fontId="4" fillId="11" borderId="1" applyAlignment="1" pivotButton="0" quotePrefix="0" xfId="0">
      <alignment horizontal="right" vertical="center"/>
    </xf>
    <xf numFmtId="0" fontId="3" fillId="11" borderId="1" applyAlignment="1" pivotButton="0" quotePrefix="0" xfId="0">
      <alignment horizontal="left" vertical="center" wrapText="1"/>
    </xf>
    <xf numFmtId="0" fontId="3" fillId="0" borderId="0" applyAlignment="1" pivotButton="0" quotePrefix="0" xfId="0">
      <alignment horizontal="left" vertical="center" wrapText="1"/>
    </xf>
    <xf numFmtId="0" fontId="5" fillId="3" borderId="1" applyAlignment="1" pivotButton="0" quotePrefix="0" xfId="0">
      <alignment vertical="center"/>
    </xf>
    <xf numFmtId="0" fontId="4" fillId="0" borderId="1" applyAlignment="1" pivotButton="0" quotePrefix="0" xfId="0">
      <alignment horizontal="left" vertical="center" wrapText="1"/>
    </xf>
    <xf numFmtId="0" fontId="5" fillId="7" borderId="1" applyAlignment="1" pivotButton="0" quotePrefix="0" xfId="0">
      <alignment vertical="center"/>
    </xf>
    <xf numFmtId="0" fontId="5" fillId="12" borderId="1" applyAlignment="1" pivotButton="0" quotePrefix="0" xfId="0">
      <alignment vertical="center"/>
    </xf>
    <xf numFmtId="0" fontId="4" fillId="0" borderId="1" applyAlignment="1" pivotButton="0" quotePrefix="0" xfId="0">
      <alignment vertical="center"/>
    </xf>
    <xf numFmtId="0" fontId="5" fillId="0" borderId="1" applyAlignment="1" pivotButton="0" quotePrefix="0" xfId="0">
      <alignment horizontal="left" vertical="center"/>
    </xf>
    <xf numFmtId="0" fontId="5" fillId="3" borderId="0" applyAlignment="1" pivotButton="0" quotePrefix="0" xfId="0">
      <alignment vertical="center"/>
    </xf>
    <xf numFmtId="0" fontId="0" fillId="0" borderId="0" applyAlignment="1" pivotButton="0" quotePrefix="0" xfId="0">
      <alignment vertical="center"/>
    </xf>
    <xf numFmtId="165" fontId="12" fillId="12" borderId="1" applyAlignment="1" pivotButton="0" quotePrefix="0" xfId="0">
      <alignment vertical="center"/>
    </xf>
    <xf numFmtId="165" fontId="18" fillId="0" borderId="1" applyAlignment="1" pivotButton="0" quotePrefix="0" xfId="0">
      <alignment vertical="center"/>
    </xf>
    <xf numFmtId="166" fontId="12" fillId="12" borderId="1" applyAlignment="1" pivotButton="0" quotePrefix="0" xfId="0">
      <alignment vertical="center"/>
    </xf>
    <xf numFmtId="167" fontId="12" fillId="12" borderId="1" applyAlignment="1" pivotButton="0" quotePrefix="0" xfId="0">
      <alignment horizontal="center" vertical="center" wrapText="1"/>
    </xf>
    <xf numFmtId="164" fontId="12" fillId="12" borderId="1" applyAlignment="1" pivotButton="0" quotePrefix="0" xfId="0">
      <alignment vertical="center"/>
    </xf>
    <xf numFmtId="0" fontId="3" fillId="0" borderId="1" applyAlignment="1" pivotButton="0" quotePrefix="0" xfId="0">
      <alignment horizontal="center" vertical="center" wrapText="1"/>
    </xf>
    <xf numFmtId="1" fontId="12" fillId="12" borderId="1" applyAlignment="1" pivotButton="0" quotePrefix="0" xfId="0">
      <alignment vertical="center"/>
    </xf>
    <xf numFmtId="2" fontId="12" fillId="12" borderId="1" applyAlignment="1" pivotButton="0" quotePrefix="0" xfId="0">
      <alignment vertical="center"/>
    </xf>
    <xf numFmtId="0" fontId="5" fillId="11" borderId="1" applyAlignment="1" pivotButton="0" quotePrefix="0" xfId="0">
      <alignment horizontal="left" vertical="center" wrapText="1"/>
    </xf>
    <xf numFmtId="2" fontId="12" fillId="11" borderId="1" applyAlignment="1" pivotButton="0" quotePrefix="0" xfId="0">
      <alignment vertical="center"/>
    </xf>
    <xf numFmtId="0" fontId="3" fillId="11" borderId="0" applyAlignment="1" pivotButton="0" quotePrefix="0" xfId="0">
      <alignment horizontal="left" vertical="center" wrapText="1"/>
    </xf>
    <xf numFmtId="0" fontId="5" fillId="0" borderId="0" applyAlignment="1" pivotButton="0" quotePrefix="0" xfId="0">
      <alignment vertical="center"/>
    </xf>
    <xf numFmtId="0" fontId="3" fillId="0" borderId="0" applyAlignment="1" pivotButton="0" quotePrefix="0" xfId="0">
      <alignment vertical="center"/>
    </xf>
    <xf numFmtId="14" fontId="18" fillId="0" borderId="1" applyAlignment="1" pivotButton="0" quotePrefix="0" xfId="0">
      <alignment vertical="center"/>
    </xf>
    <xf numFmtId="49" fontId="18" fillId="0"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8" fontId="12" fillId="7" borderId="1" applyAlignment="1" pivotButton="0" quotePrefix="0" xfId="0">
      <alignment vertical="center"/>
    </xf>
    <xf numFmtId="0" fontId="5" fillId="11" borderId="1" applyAlignment="1" pivotButton="0" quotePrefix="0" xfId="0">
      <alignment vertical="center"/>
    </xf>
    <xf numFmtId="49" fontId="12" fillId="11" borderId="1" applyAlignment="1" pivotButton="0" quotePrefix="0" xfId="0">
      <alignment vertical="center"/>
    </xf>
    <xf numFmtId="165" fontId="12" fillId="11" borderId="1" applyAlignment="1" pivotButton="0" quotePrefix="0" xfId="0">
      <alignment vertical="center"/>
    </xf>
    <xf numFmtId="0" fontId="4" fillId="11" borderId="1" applyAlignment="1" pivotButton="0" quotePrefix="0" xfId="0">
      <alignment vertical="center"/>
    </xf>
    <xf numFmtId="2" fontId="18" fillId="11" borderId="1" applyAlignment="1" pivotButton="0" quotePrefix="0" xfId="0">
      <alignment vertical="center"/>
    </xf>
    <xf numFmtId="49" fontId="5" fillId="11" borderId="1" applyAlignment="1" pivotButton="0" quotePrefix="0" xfId="0">
      <alignment horizontal="center" vertical="center" wrapText="1"/>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2" fontId="19" fillId="0" borderId="1" applyAlignment="1" pivotButton="0" quotePrefix="0" xfId="0">
      <alignment vertical="center"/>
    </xf>
    <xf numFmtId="49" fontId="19" fillId="0" borderId="1" applyAlignment="1" pivotButton="0" quotePrefix="0" xfId="0">
      <alignment vertical="center"/>
    </xf>
    <xf numFmtId="0" fontId="20" fillId="0" borderId="1" applyAlignment="1" pivotButton="0" quotePrefix="0" xfId="0">
      <alignment horizontal="center" vertical="center" wrapText="1"/>
    </xf>
    <xf numFmtId="49" fontId="19" fillId="11"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2" fontId="19" fillId="11" borderId="1" applyAlignment="1" pivotButton="0" quotePrefix="0" xfId="0">
      <alignment vertical="center"/>
    </xf>
    <xf numFmtId="0" fontId="20" fillId="11" borderId="1" applyAlignment="1" pivotButton="0" quotePrefix="0" xfId="0">
      <alignment horizontal="center" vertical="center" wrapText="1"/>
    </xf>
    <xf numFmtId="0" fontId="5" fillId="13" borderId="1" applyAlignment="1" pivotButton="0" quotePrefix="0" xfId="0">
      <alignment vertical="center"/>
    </xf>
    <xf numFmtId="0" fontId="0" fillId="13"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0" fontId="0" fillId="0" borderId="1" applyAlignment="1" pivotButton="0" quotePrefix="0" xfId="0">
      <alignment vertical="center"/>
    </xf>
    <xf numFmtId="0" fontId="5" fillId="6" borderId="1" applyAlignment="1" pivotButton="0" quotePrefix="0" xfId="0">
      <alignment vertical="center"/>
    </xf>
    <xf numFmtId="165" fontId="5" fillId="6" borderId="1" applyAlignment="1" pivotButton="0" quotePrefix="0" xfId="0">
      <alignment vertical="center"/>
    </xf>
    <xf numFmtId="168" fontId="19" fillId="0"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8" fontId="5" fillId="0" borderId="1" applyAlignment="1" pivotButton="0" quotePrefix="0" xfId="0">
      <alignment horizontal="right" vertical="center"/>
    </xf>
    <xf numFmtId="0" fontId="4" fillId="0" borderId="1" applyAlignment="1" pivotButton="0" quotePrefix="0" xfId="0">
      <alignment horizontal="center" vertical="center" wrapText="1"/>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0" fontId="4" fillId="0" borderId="1" applyAlignment="1" pivotButton="0" quotePrefix="0" xfId="0">
      <alignment horizontal="left" vertical="center"/>
    </xf>
    <xf numFmtId="169" fontId="5" fillId="0" borderId="1" applyAlignment="1" pivotButton="0" quotePrefix="0" xfId="0">
      <alignment horizontal="right" vertical="center"/>
    </xf>
    <xf numFmtId="170" fontId="5" fillId="6" borderId="1" applyAlignment="1" pivotButton="0" quotePrefix="0" xfId="0">
      <alignment vertical="center"/>
    </xf>
    <xf numFmtId="0" fontId="4" fillId="0" borderId="0" applyAlignment="1" pivotButton="0" quotePrefix="0" xfId="0">
      <alignment vertical="center"/>
    </xf>
    <xf numFmtId="14" fontId="5" fillId="0" borderId="0" applyAlignment="1" pivotButton="0" quotePrefix="0" xfId="0">
      <alignment vertical="center"/>
    </xf>
    <xf numFmtId="165" fontId="5" fillId="12" borderId="0" applyAlignment="1" pivotButton="0" quotePrefix="0" xfId="0">
      <alignment horizontal="right" vertical="center"/>
    </xf>
    <xf numFmtId="0" fontId="5" fillId="12" borderId="0" applyAlignment="1" pivotButton="0" quotePrefix="0" xfId="0">
      <alignment horizontal="right" vertical="center"/>
    </xf>
    <xf numFmtId="164" fontId="5" fillId="12" borderId="0" applyAlignment="1" pivotButton="0" quotePrefix="0" xfId="0">
      <alignment horizontal="right" vertical="center"/>
    </xf>
    <xf numFmtId="0" fontId="5" fillId="3" borderId="1" applyAlignment="1" pivotButton="0" quotePrefix="0" xfId="0">
      <alignment horizontal="center" vertical="center"/>
    </xf>
    <xf numFmtId="165" fontId="0" fillId="0" borderId="1" applyAlignment="1" pivotButton="0" quotePrefix="0" xfId="0">
      <alignment horizontal="right" vertical="center"/>
    </xf>
    <xf numFmtId="0" fontId="21" fillId="4" borderId="1" applyAlignment="1" pivotButton="0" quotePrefix="0" xfId="0">
      <alignment vertical="center"/>
    </xf>
    <xf numFmtId="1" fontId="0" fillId="0" borderId="1" applyAlignment="1" pivotButton="0" quotePrefix="0" xfId="0">
      <alignment horizontal="right" vertical="center"/>
    </xf>
    <xf numFmtId="169" fontId="5" fillId="6" borderId="1" applyAlignment="1" pivotButton="0" quotePrefix="0" xfId="0">
      <alignment horizontal="right" vertical="center"/>
    </xf>
    <xf numFmtId="171" fontId="5" fillId="0" borderId="1" applyAlignment="1" pivotButton="0" quotePrefix="0" xfId="0">
      <alignment horizontal="right" vertical="center"/>
    </xf>
    <xf numFmtId="49" fontId="5" fillId="0" borderId="1" applyAlignment="1" pivotButton="0" quotePrefix="0" xfId="0">
      <alignment horizontal="left" vertical="center"/>
    </xf>
    <xf numFmtId="164" fontId="0" fillId="0" borderId="1" applyAlignment="1" pivotButton="0" quotePrefix="0" xfId="0">
      <alignment horizontal="right" vertical="center"/>
    </xf>
    <xf numFmtId="0" fontId="4" fillId="2" borderId="1" applyAlignment="1" pivotButton="0" quotePrefix="0" xfId="0">
      <alignment horizontal="lef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0" fontId="4" fillId="7" borderId="1" applyAlignment="1" pivotButton="0" quotePrefix="0" xfId="0">
      <alignment horizontal="lef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0" fontId="4" fillId="11" borderId="1" applyAlignment="1" pivotButton="0" quotePrefix="0" xfId="0">
      <alignment horizontal="lef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0" fontId="4" fillId="14" borderId="1" applyAlignment="1" pivotButton="0" quotePrefix="0" xfId="0">
      <alignment horizontal="lef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0" fontId="4" fillId="15" borderId="1" applyAlignment="1" pivotButton="0" quotePrefix="0" xfId="0">
      <alignment horizontal="left" vertical="center"/>
    </xf>
    <xf numFmtId="165" fontId="0" fillId="15" borderId="1" applyAlignment="1" pivotButton="0" quotePrefix="0" xfId="0">
      <alignment horizontal="right" vertical="center"/>
    </xf>
    <xf numFmtId="0"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0" fontId="5" fillId="16" borderId="1" applyAlignment="1" pivotButton="0" quotePrefix="0" xfId="0">
      <alignment vertical="center"/>
    </xf>
    <xf numFmtId="165" fontId="5" fillId="16" borderId="1" applyAlignment="1" pivotButton="0" quotePrefix="0" xfId="0">
      <alignment horizontal="right" vertical="center"/>
    </xf>
    <xf numFmtId="0" fontId="0" fillId="0" borderId="1" applyAlignment="1" pivotButton="0" quotePrefix="0" xfId="0">
      <alignment horizontal="right" vertical="center"/>
    </xf>
    <xf numFmtId="164" fontId="5" fillId="0" borderId="1" applyAlignment="1" pivotButton="0" quotePrefix="0" xfId="0">
      <alignment horizontal="right" vertical="center"/>
    </xf>
    <xf numFmtId="0" fontId="6" fillId="4" borderId="1" applyAlignment="1" pivotButton="0" quotePrefix="0" xfId="0">
      <alignmen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xf numFmtId="0" fontId="5" fillId="0" borderId="1" applyAlignment="1" pivotButton="0" quotePrefix="0" xfId="0">
      <alignment horizontal="left" vertical="center" wrapText="1"/>
    </xf>
    <xf numFmtId="0" fontId="22" fillId="4" borderId="1" applyAlignment="1" pivotButton="0" quotePrefix="0" xfId="0">
      <alignment vertical="center"/>
    </xf>
    <xf numFmtId="0" fontId="6" fillId="4" borderId="0" applyAlignment="1" pivotButton="0" quotePrefix="0" xfId="0">
      <alignment horizontal="left" vertical="center"/>
    </xf>
    <xf numFmtId="0" fontId="8" fillId="0" borderId="0" applyAlignment="1" pivotButton="0" quotePrefix="0" xfId="0">
      <alignment horizontal="left" vertical="center" wrapText="1"/>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16" fillId="2" borderId="4" applyAlignment="1" pivotButton="0" quotePrefix="0" xfId="0">
      <alignment horizontal="left" vertical="center" wrapText="1"/>
    </xf>
    <xf numFmtId="0" fontId="17" fillId="0" borderId="0" applyAlignment="1" pivotButton="0" quotePrefix="0" xfId="0">
      <alignment horizontal="left" vertical="center" wrapText="1"/>
    </xf>
    <xf numFmtId="0" fontId="4" fillId="0" borderId="3" applyAlignment="1" pivotButton="0" quotePrefix="0" xfId="0">
      <alignment horizontal="left" vertical="center"/>
    </xf>
    <xf numFmtId="0" fontId="4" fillId="11" borderId="3" applyAlignment="1" pivotButton="0" quotePrefix="0" xfId="0">
      <alignment horizontal="left" vertical="center"/>
    </xf>
    <xf numFmtId="0" fontId="3" fillId="0" borderId="0" applyAlignment="1" pivotButton="0" quotePrefix="0" xfId="0">
      <alignment horizontal="left" vertical="center" wrapText="1"/>
    </xf>
    <xf numFmtId="0" fontId="5" fillId="3" borderId="3" applyAlignment="1" pivotButton="0" quotePrefix="0" xfId="0">
      <alignment horizontal="center" vertical="center" wrapText="1"/>
    </xf>
    <xf numFmtId="0" fontId="13" fillId="6" borderId="5" applyAlignment="1" pivotButton="0" quotePrefix="0" xfId="0">
      <alignment horizontal="left" vertical="center" wrapText="1"/>
    </xf>
    <xf numFmtId="0" fontId="5" fillId="0" borderId="3" applyAlignment="1" pivotButton="0" quotePrefix="0" xfId="0">
      <alignment horizontal="left" vertical="center"/>
    </xf>
    <xf numFmtId="0" fontId="10" fillId="4" borderId="4" applyAlignment="1" pivotButton="0" quotePrefix="0" xfId="0">
      <alignment horizontal="center" vertical="center" wrapText="1"/>
    </xf>
    <xf numFmtId="165" fontId="1" fillId="2" borderId="5" applyAlignment="1" pivotButton="0" quotePrefix="0" xfId="0">
      <alignment horizontal="center" vertical="center" wrapText="1"/>
    </xf>
    <xf numFmtId="164" fontId="1" fillId="2" borderId="5" applyAlignment="1" pivotButton="0" quotePrefix="0" xfId="0">
      <alignment horizontal="center" vertical="center" wrapText="1"/>
    </xf>
    <xf numFmtId="0" fontId="9" fillId="0" borderId="0" applyAlignment="1" pivotButton="0" quotePrefix="0" xfId="0">
      <alignment horizontal="left" vertical="center"/>
    </xf>
    <xf numFmtId="0" fontId="5" fillId="0" borderId="0" applyAlignment="1" pivotButton="0" quotePrefix="0" xfId="0">
      <alignment horizontal="left" vertical="center"/>
    </xf>
    <xf numFmtId="0" fontId="10" fillId="5" borderId="1" applyAlignment="1" pivotButton="0" quotePrefix="0" xfId="0">
      <alignment horizontal="left" vertical="center"/>
    </xf>
    <xf numFmtId="0" fontId="5" fillId="6" borderId="1" applyAlignment="1" pivotButton="0" quotePrefix="0" xfId="0">
      <alignment horizontal="left" vertical="center"/>
    </xf>
    <xf numFmtId="49" fontId="12" fillId="7" borderId="1" applyAlignment="1" pivotButton="0" quotePrefix="0" xfId="0">
      <alignment vertical="center"/>
    </xf>
    <xf numFmtId="0" fontId="3" fillId="0" borderId="0" applyAlignment="1" pivotButton="0" quotePrefix="0" xfId="0">
      <alignment vertical="center"/>
    </xf>
    <xf numFmtId="0" fontId="5" fillId="3" borderId="3" applyAlignment="1" pivotButton="0" quotePrefix="0" xfId="0">
      <alignment vertical="center"/>
    </xf>
    <xf numFmtId="0" fontId="3" fillId="0" borderId="0" applyAlignment="1" pivotButton="0" quotePrefix="0" xfId="0">
      <alignment horizontal="left" vertical="center"/>
    </xf>
    <xf numFmtId="0" fontId="21" fillId="4" borderId="3" applyAlignment="1" pivotButton="0" quotePrefix="0" xfId="0">
      <alignment horizontal="center" vertical="center" wrapText="1"/>
    </xf>
    <xf numFmtId="0" fontId="3" fillId="0" borderId="1" applyAlignment="1" pivotButton="0" quotePrefix="0" xfId="0">
      <alignment horizontal="left" vertical="center" wrapText="1"/>
    </xf>
    <xf numFmtId="0" fontId="3" fillId="13" borderId="1" applyAlignment="1" pivotButton="0" quotePrefix="0" xfId="0">
      <alignment horizontal="left" vertical="center" wrapText="1"/>
    </xf>
    <xf numFmtId="0" fontId="5" fillId="6" borderId="3" applyAlignment="1" pivotButton="0" quotePrefix="0" xfId="0">
      <alignment horizontal="center" vertical="center" wrapText="1"/>
    </xf>
    <xf numFmtId="0" fontId="4" fillId="0" borderId="0" applyAlignment="1" pivotButton="0" quotePrefix="0" xfId="0">
      <alignment horizontal="left" vertical="top" wrapText="1"/>
    </xf>
    <xf numFmtId="0" fontId="4" fillId="11" borderId="0" applyAlignment="1" pivotButton="0" quotePrefix="0" xfId="0">
      <alignment horizontal="left" vertical="top" wrapText="1"/>
    </xf>
    <xf numFmtId="0" fontId="4" fillId="6" borderId="0" applyAlignment="1" pivotButton="0" quotePrefix="0" xfId="0">
      <alignment horizontal="left" vertical="top" wrapText="1"/>
    </xf>
    <xf numFmtId="0" fontId="1" fillId="0" borderId="0" applyAlignment="1" pivotButton="0" quotePrefix="0" xfId="0">
      <alignment vertical="center"/>
    </xf>
    <xf numFmtId="0" fontId="2" fillId="0" borderId="0" applyAlignment="1" pivotButton="0" quotePrefix="0" xfId="0">
      <alignment horizontal="left" vertical="center" wrapText="1"/>
    </xf>
    <xf numFmtId="0" fontId="5" fillId="17" borderId="0" applyAlignment="1" pivotButton="0" quotePrefix="0" xfId="0">
      <alignment vertical="center"/>
    </xf>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6" pivotButton="0" quotePrefix="0" xfId="0"/>
    <xf numFmtId="165" fontId="1" fillId="2" borderId="5" applyAlignment="1" pivotButton="0" quotePrefix="0" xfId="0">
      <alignment horizontal="center" vertical="center" wrapText="1"/>
    </xf>
    <xf numFmtId="0" fontId="0" fillId="0" borderId="15" pivotButton="0" quotePrefix="0" xfId="0"/>
    <xf numFmtId="0" fontId="0" fillId="0" borderId="17" pivotButton="0" quotePrefix="0" xfId="0"/>
    <xf numFmtId="164" fontId="1" fillId="2" borderId="5" applyAlignment="1" pivotButton="0" quotePrefix="0" xfId="0">
      <alignment horizontal="center" vertical="center" wrapText="1"/>
    </xf>
    <xf numFmtId="164" fontId="5" fillId="0" borderId="1" applyAlignment="1" pivotButton="0" quotePrefix="0" xfId="0">
      <alignment horizontal="center" vertical="center" wrapText="1"/>
    </xf>
    <xf numFmtId="165" fontId="4" fillId="0" borderId="1" applyAlignment="1" pivotButton="0" quotePrefix="0" xfId="0">
      <alignment horizontal="right" vertical="center"/>
    </xf>
    <xf numFmtId="165" fontId="4" fillId="11" borderId="1" applyAlignment="1" pivotButton="0" quotePrefix="0" xfId="0">
      <alignment horizontal="right" vertical="center"/>
    </xf>
    <xf numFmtId="165" fontId="12" fillId="12" borderId="1" applyAlignment="1" pivotButton="0" quotePrefix="0" xfId="0">
      <alignment vertical="center"/>
    </xf>
    <xf numFmtId="165" fontId="18" fillId="0" borderId="1" applyAlignment="1" pivotButton="0" quotePrefix="0" xfId="0">
      <alignment vertical="center"/>
    </xf>
    <xf numFmtId="164" fontId="12" fillId="12"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5" fontId="12" fillId="11" borderId="1" applyAlignment="1" pivotButton="0" quotePrefix="0" xfId="0">
      <alignment vertical="center"/>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165" fontId="5" fillId="6"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165" fontId="5" fillId="12" borderId="0" applyAlignment="1" pivotButton="0" quotePrefix="0" xfId="0">
      <alignment horizontal="right" vertical="center"/>
    </xf>
    <xf numFmtId="164" fontId="5" fillId="12" borderId="0" applyAlignment="1" pivotButton="0" quotePrefix="0" xfId="0">
      <alignment horizontal="right" vertical="center"/>
    </xf>
    <xf numFmtId="165" fontId="0" fillId="0" borderId="1" applyAlignment="1" pivotButton="0" quotePrefix="0" xfId="0">
      <alignment horizontal="right" vertical="center"/>
    </xf>
    <xf numFmtId="164" fontId="0" fillId="0" borderId="1" applyAlignment="1" pivotButton="0" quotePrefix="0" xfId="0">
      <alignment horizontal="righ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165"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165" fontId="5" fillId="16" borderId="1" applyAlignment="1" pivotButton="0" quotePrefix="0" xfId="0">
      <alignment horizontal="right" vertical="center"/>
    </xf>
    <xf numFmtId="164" fontId="5" fillId="0" borderId="1" applyAlignment="1" pivotButton="0" quotePrefix="0" xfId="0">
      <alignment horizontal="righ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cellXfs>
  <cellStyles count="1">
    <cellStyle name="Normal" xfId="0" builtinId="0"/>
  </cellStyles>
  <dxfs count="18">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F2CC"/>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CE4D6"/>
        </patternFill>
      </fill>
      <border>
        <left style="medium">
          <color rgb="FFC00000"/>
        </left>
        <right style="medium">
          <color rgb="FFC00000"/>
        </right>
        <top style="medium">
          <color rgb="FFC00000"/>
        </top>
        <bottom style="medium">
          <color rgb="FFC00000"/>
        </bottom>
      </border>
    </dxf>
  </dxfs>
  <tableStyles count="0" defaultTableStyle="TableStyleMedium2" defaultPivotStyle="PivotStyleLight16"/>
  <colors>
    <indexedColors>
      <rgbColor rgb="FF000000"/>
      <rgbColor rgb="FFFFFFFF"/>
      <rgbColor rgb="FFC00000"/>
      <rgbColor rgb="FF00FF00"/>
      <rgbColor rgb="FF0000FF"/>
      <rgbColor rgb="FFFFE699"/>
      <rgbColor rgb="FFFF00FF"/>
      <rgbColor rgb="FFF9F9F9"/>
      <rgbColor rgb="FF800000"/>
      <rgbColor rgb="FF006100"/>
      <rgbColor rgb="FF000080"/>
      <rgbColor rgb="FF548235"/>
      <rgbColor rgb="FFBE4B48"/>
      <rgbColor rgb="FF4F81BD"/>
      <rgbColor rgb="FFC0C0C0"/>
      <rgbColor rgb="FF808080"/>
      <rgbColor rgb="FFA6A6A6"/>
      <rgbColor rgb="FF973F3C"/>
      <rgbColor rgb="FFFFF2CC"/>
      <rgbColor rgb="FFE2EFDA"/>
      <rgbColor rgb="FF660066"/>
      <rgbColor rgb="FFCA7E7D"/>
      <rgbColor rgb="FF0563C1"/>
      <rgbColor rgb="FFBDD7EE"/>
      <rgbColor rgb="FF000080"/>
      <rgbColor rgb="FFFF00FF"/>
      <rgbColor rgb="FFFCE4D6"/>
      <rgbColor rgb="FF00FFFF"/>
      <rgbColor rgb="FFC0504D"/>
      <rgbColor rgb="FF800000"/>
      <rgbColor rgb="FF7F7F7F"/>
      <rgbColor rgb="FF0000FF"/>
      <rgbColor rgb="FFFFC7CE"/>
      <rgbColor rgb="FFF2F2F2"/>
      <rgbColor rgb="FFC6EFCE"/>
      <rgbColor rgb="FFFFEB9C"/>
      <rgbColor rgb="FFD9D9D9"/>
      <rgbColor rgb="FFEA9999"/>
      <rgbColor rgb="FFDDB5B5"/>
      <rgbColor rgb="FFF4CCCC"/>
      <rgbColor rgb="FF4A7EBB"/>
      <rgbColor rgb="FFD9E1F2"/>
      <rgbColor rgb="FF98B855"/>
      <rgbColor rgb="FFFFD700"/>
      <rgbColor rgb="FFCD7F32"/>
      <rgbColor rgb="FFED7D31"/>
      <rgbColor rgb="FF7D5FA0"/>
      <rgbColor rgb="FF878787"/>
      <rgbColor rgb="FF1F3864"/>
      <rgbColor rgb="FF00B050"/>
      <rgbColor rgb="FF003300"/>
      <rgbColor rgb="FFCC8F8E"/>
      <rgbColor rgb="FFB34A48"/>
      <rgbColor rgb="FFAA433F"/>
      <rgbColor rgb="FF7030A0"/>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Cumul patrimonial sur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'12. Synthèse'!$C$63</f>
              <strCache>
                <ptCount val="1"/>
                <pt idx="0">
                  <v>Strat. A (réf.)</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Synthèse'!$C$64:$C$68</f>
              <numCache>
                <formatCode>#\ ##0" €";[Red]\(#\ ##0" €)";\-</formatCode>
                <ptCount val="5"/>
                <pt idx="0">
                  <v>63146.61850285969</v>
                </pt>
                <pt idx="1">
                  <v>127556.1693757764</v>
                </pt>
                <pt idx="2">
                  <v>193253.9112661514</v>
                </pt>
                <pt idx="3">
                  <v>260265.6079943342</v>
                </pt>
                <pt idx="4">
                  <v>328617.5386570807</v>
                </pt>
              </numCache>
            </numRef>
          </val>
          <smooth val="1"/>
        </ser>
        <ser>
          <idx val="1"/>
          <order val="1"/>
          <tx>
            <strRef>
              <f>'12. Synthèse'!$D$63</f>
              <strCache>
                <ptCount val="1"/>
                <pt idx="0">
                  <v>Stratégie retenue</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Synthèse'!$D$64:$D$68</f>
              <numCache>
                <formatCode>#\ ##0" €";[Red]\(#\ ##0" €)";\-</formatCode>
                <ptCount val="5"/>
                <pt idx="0">
                  <v>80931.61053353462</v>
                </pt>
                <pt idx="1">
                  <v>164451.2231137818</v>
                </pt>
                <pt idx="2">
                  <v>250641.5959430019</v>
                </pt>
                <pt idx="3">
                  <v>339588.1336355973</v>
                </pt>
                <pt idx="4">
                  <v>431378.9718441334</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70607437"/>
        <axId val="46833080"/>
      </lineChart>
      <catAx>
        <axId val="70607437"/>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6833080"/>
        <crosses val="autoZero"/>
        <auto val="1"/>
        <lblAlgn val="ctr"/>
        <lblOffset val="100"/>
        <noMultiLvlLbl val="0"/>
      </catAx>
      <valAx>
        <axId val="46833080"/>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0607437"/>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Évolution du net dirigeant par étage stratégique</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'12. Synthèse'!$C$85</f>
              <strCache>
                <ptCount val="1"/>
                <pt idx="0">
                  <v>Net dirigeant</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'12. Synthèse'!$B$86:$B$89</f>
              <strCache>
                <ptCount val="4"/>
                <pt idx="0">
                  <v>Stratégie A - référence salaire</v>
                </pt>
                <pt idx="1">
                  <v>+ Dividendes optimisés (B)</v>
                </pt>
                <pt idx="2">
                  <v>+ Épargne salariale &amp; PER (C)</v>
                </pt>
                <pt idx="3">
                  <v>+ Périphériques &amp; cashback (D)</v>
                </pt>
              </strCache>
            </strRef>
          </cat>
          <val>
            <numRef>
              <f>'12. Synthèse'!$C$86:$C$89</f>
              <numCache>
                <formatCode>#\ ##0" €";[Red]\(#\ ##0" €)";\-</formatCode>
                <ptCount val="4"/>
                <pt idx="0">
                  <v>61908.44951260748</v>
                </pt>
                <pt idx="1">
                  <v>64756.56970756449</v>
                </pt>
                <pt idx="2">
                  <v>73617.82475630374</v>
                </pt>
                <pt idx="3">
                  <v>78423.80228067338</v>
                </pt>
              </numCache>
            </numRef>
          </val>
        </ser>
        <dLbls>
          <showLegendKey val="0"/>
          <showVal val="0"/>
          <showCatName val="0"/>
          <showSerName val="0"/>
          <showPercent val="0"/>
          <showBubbleSize val="0"/>
        </dLbls>
        <gapWidth val="150"/>
        <axId val="55404152"/>
        <axId val="37855739"/>
      </barChart>
      <catAx>
        <axId val="55404152"/>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7855739"/>
        <crosses val="autoZero"/>
        <auto val="1"/>
        <lblAlgn val="ctr"/>
        <lblOffset val="100"/>
        <noMultiLvlLbl val="0"/>
      </catAx>
      <valAx>
        <axId val="3785573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540415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Composition du net dirigeant par stratégie (€)</a:t>
            </a: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strRef>
              <f>'12. Synthèse'!$B$131</f>
              <strCache>
                <ptCount val="1"/>
                <pt idx="0">
                  <v>Net salaire après IR</v>
                </pt>
              </strCache>
            </strRef>
          </tx>
          <spPr>
            <a:solidFill xmlns:a="http://schemas.openxmlformats.org/drawingml/2006/main">
              <a:srgbClr val="973F3C"/>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Synthèse'!$C$131:$F$131</f>
              <numCache>
                <formatCode>#\ ##0" €";[Red]\(#\ ##0" €)";\-</formatCode>
                <ptCount val="4"/>
                <pt idx="0">
                  <v>61908.44951260748</v>
                </pt>
                <pt idx="1">
                  <v>37145.06970756449</v>
                </pt>
                <pt idx="2">
                  <v>30954.22475630374</v>
                </pt>
                <pt idx="3">
                  <v>27858.80228067337</v>
                </pt>
              </numCache>
            </numRef>
          </val>
        </ser>
        <ser>
          <idx val="1"/>
          <order val="1"/>
          <tx>
            <strRef>
              <f>'12. Synthèse'!$B$132</f>
              <strCache>
                <ptCount val="1"/>
                <pt idx="0">
                  <v>Net dividendes</v>
                </pt>
              </strCache>
            </strRef>
          </tx>
          <spPr>
            <a:solidFill xmlns:a="http://schemas.openxmlformats.org/drawingml/2006/main">
              <a:srgbClr val="B34A48"/>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Synthèse'!$C$132:$F$132</f>
              <numCache>
                <formatCode>#\ ##0" €";[Red]\(#\ ##0" €)";\-</formatCode>
                <ptCount val="4"/>
                <pt idx="0">
                  <v>0</v>
                </pt>
                <pt idx="1">
                  <v>27611.5</v>
                </pt>
                <pt idx="2">
                  <v>20991.6</v>
                </pt>
                <pt idx="3">
                  <v>17493</v>
                </pt>
              </numCache>
            </numRef>
          </val>
        </ser>
        <ser>
          <idx val="2"/>
          <order val="2"/>
          <tx>
            <strRef>
              <f>'12. Synthèse'!$B$133</f>
              <strCache>
                <ptCount val="1"/>
                <pt idx="0">
                  <v>Net épargne salariale</v>
                </pt>
              </strCache>
            </strRef>
          </tx>
          <spPr>
            <a:solidFill xmlns:a="http://schemas.openxmlformats.org/drawingml/2006/main">
              <a:srgbClr val="CA7E7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Synthèse'!$C$133:$F$133</f>
              <numCache>
                <formatCode>#\ ##0" €";[Red]\(#\ ##0" €)";\-</formatCode>
                <ptCount val="4"/>
                <pt idx="0">
                  <v>0</v>
                </pt>
                <pt idx="1">
                  <v>0</v>
                </pt>
                <pt idx="2">
                  <v>21672</v>
                </pt>
                <pt idx="3">
                  <v>21672</v>
                </pt>
              </numCache>
            </numRef>
          </val>
        </ser>
        <ser>
          <idx val="3"/>
          <order val="3"/>
          <tx>
            <strRef>
              <f>'12. Synthèse'!$B$134</f>
              <strCache>
                <ptCount val="1"/>
                <pt idx="0">
                  <v>Net périphériques</v>
                </pt>
              </strCache>
            </strRef>
          </tx>
          <spPr>
            <a:solidFill xmlns:a="http://schemas.openxmlformats.org/drawingml/2006/main">
              <a:srgbClr val="DDB5B5"/>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Synthèse'!$C$134:$F$134</f>
              <numCache>
                <formatCode>#\ ##0" €";[Red]\(#\ ##0" €)";\-</formatCode>
                <ptCount val="4"/>
                <pt idx="0">
                  <v>0</v>
                </pt>
                <pt idx="1">
                  <v>0</v>
                </pt>
                <pt idx="2">
                  <v>0</v>
                </pt>
                <pt idx="3">
                  <v>11400</v>
                </pt>
              </numCache>
            </numRef>
          </val>
        </ser>
        <dLbls>
          <showLegendKey val="0"/>
          <showVal val="0"/>
          <showCatName val="0"/>
          <showSerName val="0"/>
          <showPercent val="0"/>
          <showBubbleSize val="0"/>
        </dLbls>
        <gapWidth val="150"/>
        <overlap val="100"/>
        <axId val="54346991"/>
        <axId val="9876224"/>
      </barChart>
      <catAx>
        <axId val="5434699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876224"/>
        <crosses val="autoZero"/>
        <auto val="1"/>
        <lblAlgn val="ctr"/>
        <lblOffset val="100"/>
        <noMultiLvlLbl val="0"/>
      </catAx>
      <valAx>
        <axId val="9876224"/>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434699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Profil des 4 stratégies sur 6 dimensions (score 0-100)</a:t>
            </a:r>
          </a:p>
        </rich>
      </tx>
      <overlay val="0"/>
      <spPr>
        <a:noFill xmlns:a="http://schemas.openxmlformats.org/drawingml/2006/main"/>
        <a:ln xmlns:a="http://schemas.openxmlformats.org/drawingml/2006/main" w="0">
          <a:noFill/>
          <a:prstDash val="solid"/>
        </a:ln>
      </spPr>
    </title>
    <plotArea>
      <layout/>
      <radarChart>
        <radarStyle val="marker"/>
        <varyColors val="0"/>
        <ser>
          <idx val="0"/>
          <order val="0"/>
          <tx>
            <strRef>
              <f>'12. Synthèse'!$C$162</f>
              <strCache>
                <ptCount val="1"/>
                <pt idx="0">
                  <v>Strat. A</v>
                </pt>
              </strCache>
            </strRef>
          </tx>
          <spPr>
            <a:ln xmlns:a="http://schemas.openxmlformats.org/drawingml/2006/main" w="66600">
              <a:solidFill>
                <a:srgbClr val="4A7EBB"/>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Synthèse'!$C$163:$C$168</f>
              <numCache>
                <formatCode>0</formatCode>
                <ptCount val="6"/>
                <pt idx="0">
                  <v>78.94089257626328</v>
                </pt>
                <pt idx="1">
                  <v>100</v>
                </pt>
                <pt idx="2">
                  <v>0</v>
                </pt>
                <pt idx="3">
                  <v>100</v>
                </pt>
                <pt idx="4">
                  <v>100</v>
                </pt>
                <pt idx="5">
                  <v>100</v>
                </pt>
              </numCache>
            </numRef>
          </val>
        </ser>
        <ser>
          <idx val="1"/>
          <order val="1"/>
          <tx>
            <strRef>
              <f>'12. Synthèse'!$D$162</f>
              <strCache>
                <ptCount val="1"/>
                <pt idx="0">
                  <v>Strat. B</v>
                </pt>
              </strCache>
            </strRef>
          </tx>
          <spPr>
            <a:ln xmlns:a="http://schemas.openxmlformats.org/drawingml/2006/main" w="66600">
              <a:solidFill>
                <a:srgbClr val="BE4B4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Synthèse'!$D$163:$D$168</f>
              <numCache>
                <formatCode>0</formatCode>
                <ptCount val="6"/>
                <pt idx="0">
                  <v>82.57259636022899</v>
                </pt>
                <pt idx="1">
                  <v>57.36108301491056</v>
                </pt>
                <pt idx="2">
                  <v>42.63891698508944</v>
                </pt>
                <pt idx="3">
                  <v>57.36108301491056</v>
                </pt>
                <pt idx="4">
                  <v>70</v>
                </pt>
                <pt idx="5">
                  <v>90</v>
                </pt>
              </numCache>
            </numRef>
          </val>
        </ser>
        <ser>
          <idx val="2"/>
          <order val="2"/>
          <tx>
            <strRef>
              <f>'12. Synthèse'!$E$162</f>
              <strCache>
                <ptCount val="1"/>
                <pt idx="0">
                  <v>Strat. C</v>
                </pt>
              </strCache>
            </strRef>
          </tx>
          <spPr>
            <a:ln xmlns:a="http://schemas.openxmlformats.org/drawingml/2006/main" w="66600">
              <a:solidFill>
                <a:srgbClr val="98B85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Synthèse'!$E$163:$E$168</f>
              <numCache>
                <formatCode>0</formatCode>
                <ptCount val="6"/>
                <pt idx="0">
                  <v>93.87178715567835</v>
                </pt>
                <pt idx="1">
                  <v>42.04718742882062</v>
                </pt>
                <pt idx="2">
                  <v>57.95281257117938</v>
                </pt>
                <pt idx="3">
                  <v>71.48571005800802</v>
                </pt>
                <pt idx="4">
                  <v>50</v>
                </pt>
                <pt idx="5">
                  <v>90</v>
                </pt>
              </numCache>
            </numRef>
          </val>
        </ser>
        <ser>
          <idx val="3"/>
          <order val="3"/>
          <tx>
            <strRef>
              <f>'12. Synthèse'!$F$162</f>
              <strCache>
                <ptCount val="1"/>
                <pt idx="0">
                  <v>Strat. D</v>
                </pt>
              </strCache>
            </strRef>
          </tx>
          <spPr>
            <a:ln xmlns:a="http://schemas.openxmlformats.org/drawingml/2006/main" w="66600">
              <a:solidFill>
                <a:srgbClr val="7D5FA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Synthèse'!$F$163:$F$168</f>
              <numCache>
                <formatCode>0</formatCode>
                <ptCount val="6"/>
                <pt idx="0">
                  <v>100</v>
                </pt>
                <pt idx="1">
                  <v>35.52340165931848</v>
                </pt>
                <pt idx="2">
                  <v>49.94019527366343</v>
                </pt>
                <pt idx="3">
                  <v>77.69427203058358</v>
                </pt>
                <pt idx="4">
                  <v>30</v>
                </pt>
                <pt idx="5">
                  <v>90</v>
                </pt>
              </numCache>
            </numRef>
          </val>
        </ser>
        <dLbls>
          <showLegendKey val="0"/>
          <showVal val="0"/>
          <showCatName val="0"/>
          <showSerName val="0"/>
          <showPercent val="0"/>
          <showBubbleSize val="0"/>
        </dLbls>
        <axId val="93803033"/>
        <axId val="7834716"/>
      </radarChart>
      <catAx>
        <axId val="93803033"/>
        <scaling>
          <orientation val="maxMin"/>
        </scaling>
        <delete val="0"/>
        <axPos val="b"/>
        <numFmt formatCode="General" sourceLinked="1"/>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834716"/>
        <crosses val="autoZero"/>
        <auto val="1"/>
        <lblAlgn val="ctr"/>
        <lblOffset val="100"/>
        <noMultiLvlLbl val="0"/>
      </catAx>
      <valAx>
        <axId val="7834716"/>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3803033"/>
        <crosses val="autoZero"/>
        <crossBetween val="midCat"/>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Projection patrimoniale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'Scénarios A vs B'!$C$30</f>
              <strCache>
                <ptCount val="1"/>
                <pt idx="0">
                  <v>Scénario A</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B'!$C$31:$C$35</f>
              <numCache>
                <formatCode>#\ ##0" €";[Red]\(#\ ##0" €)";\-</formatCode>
                <ptCount val="5"/>
                <pt idx="0">
                  <v>72496.43625000006</v>
                </pt>
                <pt idx="1">
                  <v>146442.801225</v>
                </pt>
                <pt idx="2">
                  <v>221868.0934994998</v>
                </pt>
                <pt idx="3">
                  <v>298801.8916194899</v>
                </pt>
                <pt idx="4">
                  <v>377274.3657018798</v>
                </pt>
              </numCache>
            </numRef>
          </val>
          <smooth val="1"/>
        </ser>
        <ser>
          <idx val="1"/>
          <order val="1"/>
          <tx>
            <strRef>
              <f>'Scénarios A vs B'!$D$30</f>
              <strCache>
                <ptCount val="1"/>
                <pt idx="0">
                  <v>Scénario B</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B'!$D$31:$D$35</f>
              <numCache>
                <formatCode>#\ ##0" €";[Red]\(#\ ##0" €)";\-</formatCode>
                <ptCount val="5"/>
                <pt idx="0">
                  <v>120581.8847368423</v>
                </pt>
                <pt idx="1">
                  <v>245479.3316642662</v>
                </pt>
                <pt idx="2">
                  <v>374846.7924817247</v>
                </pt>
                <pt idx="3">
                  <v>508844.2466337022</v>
                </pt>
                <pt idx="4">
                  <v>647637.3991448036</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23002366"/>
        <axId val="40899459"/>
      </lineChart>
      <catAx>
        <axId val="23002366"/>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0899459"/>
        <crosses val="autoZero"/>
        <auto val="1"/>
        <lblAlgn val="ctr"/>
        <lblOffset val="100"/>
        <noMultiLvlLbl val="0"/>
      </catAx>
      <valAx>
        <axId val="4089945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23002366"/>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Décomposition de l'IR par tranche du barème</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spPr>
            <a:solidFill xmlns:a="http://schemas.openxmlformats.org/drawingml/2006/main">
              <a:srgbClr val="C0504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'Détail calcul fiscal'!$B$30:$B$34</f>
              <strCache>
                <ptCount val="5"/>
                <pt idx="0">
                  <v>Tranche 1 - non imposable</v>
                </pt>
                <pt idx="1">
                  <v>Tranche 2 - 11 %</v>
                </pt>
                <pt idx="2">
                  <v>Tranche 3 - 30 %</v>
                </pt>
                <pt idx="3">
                  <v>Tranche 4 - 41 %</v>
                </pt>
                <pt idx="4">
                  <v>Tranche 5 - 45 %</v>
                </pt>
              </strCache>
            </strRef>
          </cat>
          <val>
            <numRef>
              <f>'Détail calcul fiscal'!$G$30:$G$34</f>
              <numCache>
                <formatCode>#\ ##0" €";[Red]\(#\ ##0" €)";\-</formatCode>
                <ptCount val="5"/>
                <pt idx="0">
                  <v>0</v>
                </pt>
                <pt idx="1">
                  <v>1944.2324</v>
                </pt>
                <pt idx="2">
                  <v>0</v>
                </pt>
                <pt idx="3">
                  <v>0</v>
                </pt>
                <pt idx="4">
                  <v>0</v>
                </pt>
              </numCache>
            </numRef>
          </val>
        </ser>
        <dLbls>
          <showLegendKey val="0"/>
          <showVal val="0"/>
          <showCatName val="0"/>
          <showSerName val="0"/>
          <showPercent val="0"/>
          <showBubbleSize val="0"/>
        </dLbls>
        <gapWidth val="150"/>
        <axId val="35233048"/>
        <axId val="18091467"/>
      </barChart>
      <catAx>
        <axId val="35233048"/>
        <scaling>
          <orientation val="minMax"/>
        </scaling>
        <delete val="0"/>
        <axPos val="l"/>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18091467"/>
        <crosses val="autoZero"/>
        <auto val="1"/>
        <lblAlgn val="ctr"/>
        <lblOffset val="100"/>
        <noMultiLvlLbl val="0"/>
      </catAx>
      <valAx>
        <axId val="18091467"/>
        <scaling>
          <orientation val="minMax"/>
        </scaling>
        <delete val="0"/>
        <axPos val="b"/>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523304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_rels/drawing3.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editAs="oneCell">
    <from>
      <col>6</col>
      <colOff>0</colOff>
      <row>62</row>
      <rowOff>0</rowOff>
    </from>
    <to>
      <col>15</col>
      <colOff>255960</colOff>
      <row>77</row>
      <rowOff>115200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84</row>
      <rowOff>0</rowOff>
    </from>
    <to>
      <col>15</col>
      <colOff>255960</colOff>
      <row>101</row>
      <rowOff>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136</row>
      <rowOff>0</rowOff>
    </from>
    <to>
      <col>4</col>
      <colOff>1404720</colOff>
      <row>156</row>
      <rowOff>149760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169</row>
      <rowOff>0</rowOff>
    </from>
    <to>
      <col>4</col>
      <colOff>1404720</colOff>
      <row>191</row>
      <rowOff>128880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twoCellAnchor editAs="oneCell">
    <from>
      <col>5</col>
      <colOff>0</colOff>
      <row>30</row>
      <rowOff>0</rowOff>
    </from>
    <to>
      <col>9</col>
      <colOff>526680</colOff>
      <row>43</row>
      <rowOff>43200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1</col>
      <colOff>0</colOff>
      <row>35</row>
      <rowOff>175320</rowOff>
    </from>
    <to>
      <col>5</col>
      <colOff>840960</colOff>
      <row>52</row>
      <rowOff>176400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808080"/>
    <outlinePr summaryBelow="1" summaryRight="1"/>
    <pageSetUpPr fitToPage="1"/>
  </sheetPr>
  <dimension ref="B3:E36"/>
  <sheetViews>
    <sheetView showGridLines="0" topLeftCell="A14" zoomScaleNormal="100" workbookViewId="0">
      <selection activeCell="A1" sqref="A1"/>
    </sheetView>
  </sheetViews>
  <sheetFormatPr baseColWidth="10" defaultColWidth="8.6640625" defaultRowHeight="14.25"/>
  <cols>
    <col width="4" customWidth="1" min="1" max="1"/>
    <col width="56" customWidth="1" min="2" max="2"/>
    <col width="4" customWidth="1" min="3" max="3"/>
    <col width="30" customWidth="1" min="4" max="4"/>
    <col width="4" customWidth="1" min="5" max="6"/>
  </cols>
  <sheetData>
    <row r="3" ht="37.5" customHeight="1">
      <c r="B3" s="135" t="inlineStr">
        <is>
          <t>Outil d'arbitrage de la rémunération du dirigeant</t>
        </is>
      </c>
    </row>
    <row r="4" ht="21.75" customHeight="1">
      <c r="B4" s="136" t="inlineStr">
        <is>
          <t>Simulateur multi-population - TNS, assimilé salarié, libéral, salarié</t>
        </is>
      </c>
    </row>
    <row r="6" ht="24" customHeight="1">
      <c r="B6" s="137" t="inlineStr">
        <is>
          <t>[Logo cabinet]</t>
        </is>
      </c>
      <c r="C6" s="167" t="n"/>
      <c r="D6" s="167" t="n"/>
      <c r="E6" s="168" t="n"/>
    </row>
    <row r="7" ht="24" customHeight="1">
      <c r="B7" s="169" t="n"/>
      <c r="E7" s="170" t="n"/>
    </row>
    <row r="8" ht="24" customHeight="1">
      <c r="B8" s="171" t="n"/>
      <c r="C8" s="172" t="n"/>
      <c r="D8" s="172" t="n"/>
      <c r="E8" s="173" t="n"/>
    </row>
    <row r="10">
      <c r="B10" s="3" t="inlineStr">
        <is>
          <t>Cabinet</t>
        </is>
      </c>
      <c r="D10" s="4">
        <f>INDEX('5. Profil'!C:C,MATCH("Cabinet",'5. Profil'!B:B,0))</f>
        <v/>
      </c>
    </row>
    <row r="11">
      <c r="B11" s="3" t="inlineStr">
        <is>
          <t>Client</t>
        </is>
      </c>
      <c r="D11" s="4">
        <f>CLIENT_NAME</f>
        <v/>
      </c>
    </row>
    <row r="12">
      <c r="B12" s="3" t="inlineStr">
        <is>
          <t>Date de la simulation</t>
        </is>
      </c>
      <c r="D12" s="5">
        <f>INDEX('5. Profil'!C:C,MATCH("Date de la simulation",'5. Profil'!B:B,0))</f>
        <v/>
      </c>
    </row>
    <row r="13">
      <c r="B13" s="3" t="inlineStr">
        <is>
          <t>Référentiel fiscal</t>
        </is>
      </c>
      <c r="D13" s="4" t="inlineStr">
        <is>
          <t>2026 (revenus 2025)</t>
        </is>
      </c>
    </row>
    <row r="14">
      <c r="B14" s="3" t="inlineStr">
        <is>
          <t>Version</t>
        </is>
      </c>
      <c r="D14" s="4" t="inlineStr">
        <is>
          <t>v19 - généré le 11/05/2026</t>
        </is>
      </c>
    </row>
    <row r="15" ht="31.5" customHeight="1">
      <c r="B15" s="3" t="inlineStr">
        <is>
          <t>Historique</t>
        </is>
      </c>
      <c r="D15" s="158" t="inlineStr">
        <is>
          <t>v19 : Tests étendus 10→20 + 10 vérifications cohérence inter-feuilles automatiques</t>
        </is>
      </c>
    </row>
    <row r="17" ht="21.75" customHeight="1">
      <c r="B17" s="133" t="inlineStr">
        <is>
          <t>SOMMAIRE</t>
        </is>
      </c>
    </row>
    <row r="18">
      <c r="B18" s="7" t="inlineStr">
        <is>
          <t>2. Dashboard</t>
        </is>
      </c>
      <c r="D18" s="8" t="inlineStr">
        <is>
          <t>🟢 Synthèse rendez-vous client (1 page)</t>
        </is>
      </c>
    </row>
    <row r="19">
      <c r="B19" s="7" t="inlineStr">
        <is>
          <t>3. Mode d'emploi</t>
        </is>
      </c>
      <c r="D19" s="8" t="inlineStr">
        <is>
          <t>Logique de l'outil et codes couleurs</t>
        </is>
      </c>
    </row>
    <row r="20">
      <c r="B20" s="7" t="inlineStr">
        <is>
          <t>4. Paramètres fiscaux</t>
        </is>
      </c>
      <c r="D20" s="8" t="inlineStr">
        <is>
          <t>Référentiel 2026 (à mettre à jour annuellement)</t>
        </is>
      </c>
    </row>
    <row r="21">
      <c r="B21" s="7" t="inlineStr">
        <is>
          <t>5. Profil client</t>
        </is>
      </c>
      <c r="D21" s="8" t="inlineStr">
        <is>
          <t>Saisir les inputs du dossier</t>
        </is>
      </c>
    </row>
    <row r="22">
      <c r="B22" s="7" t="inlineStr">
        <is>
          <t>6. Comparateur</t>
        </is>
      </c>
      <c r="D22" s="8" t="inlineStr">
        <is>
          <t>Matrice de rentabilité par dispositif</t>
        </is>
      </c>
    </row>
    <row r="23">
      <c r="B23" s="7" t="inlineStr">
        <is>
          <t>7. Module Assimilé salarié</t>
        </is>
      </c>
      <c r="D23" s="8" t="inlineStr">
        <is>
          <t>Président SAS / SASU / SELAS, gérant min.</t>
        </is>
      </c>
    </row>
    <row r="24">
      <c r="B24" s="7" t="inlineStr">
        <is>
          <t>8. Module TNS</t>
        </is>
      </c>
      <c r="D24" s="8" t="inlineStr">
        <is>
          <t>Gérant majoritaire SARL/EURL, EI</t>
        </is>
      </c>
    </row>
    <row r="25">
      <c r="B25" s="7" t="inlineStr">
        <is>
          <t>9. Module Libéral</t>
        </is>
      </c>
      <c r="D25" s="8" t="inlineStr">
        <is>
          <t>BNC + SEL</t>
        </is>
      </c>
    </row>
    <row r="26">
      <c r="B26" s="7" t="inlineStr">
        <is>
          <t>10. Module Salarié</t>
        </is>
      </c>
      <c r="D26" s="8" t="inlineStr">
        <is>
          <t>Cadre / non-cadre - optimisation</t>
        </is>
      </c>
    </row>
    <row r="27">
      <c r="B27" s="7" t="inlineStr">
        <is>
          <t>11. Arbitrage global</t>
        </is>
      </c>
      <c r="D27" s="8" t="inlineStr">
        <is>
          <t>4 stratégies à enveloppe constante</t>
        </is>
      </c>
    </row>
    <row r="28">
      <c r="B28" s="7" t="inlineStr">
        <is>
          <t>12. Synthèse dirigeant</t>
        </is>
      </c>
      <c r="D28" s="8" t="inlineStr">
        <is>
          <t>Livrable client final</t>
        </is>
      </c>
    </row>
    <row r="29">
      <c r="B29" s="7" t="inlineStr">
        <is>
          <t>13. Sources &amp; disclaimer</t>
        </is>
      </c>
      <c r="D29" s="8" t="inlineStr">
        <is>
          <t>Références légales et limites</t>
        </is>
      </c>
    </row>
    <row r="32" ht="21.75" customHeight="1">
      <c r="B32" s="133" t="inlineStr">
        <is>
          <t>AVERTISSEMENT</t>
        </is>
      </c>
    </row>
    <row r="33" ht="18" customHeight="1">
      <c r="B33" s="134" t="inlineStr">
        <is>
          <t>Cet outil constitue une aide à la décision à usage professionnel et ne se substitue pas au conseil personnalisé d'un expert-comptable, d'un avocat fiscaliste ou d'un conseil en gestion de patrimoine. Les paramètres fiscaux et sociaux 2026 doivent être mis à jour annuellement (cf. feuille « 13. Sources »). Les calculs reposent sur des taux moyens indicatifs et des hypothèses simplificatrices documentées dans chaque module. Le cabinet décline toute responsabilité quant à l'usage qui pourrait en être fait.</t>
        </is>
      </c>
    </row>
    <row r="34" ht="18" customHeight="1"/>
    <row r="35" ht="18" customHeight="1"/>
    <row r="36" ht="18" customHeight="1"/>
  </sheetData>
  <mergeCells count="6">
    <mergeCell ref="B33:D36"/>
    <mergeCell ref="B6:E8"/>
    <mergeCell ref="B4:E4"/>
    <mergeCell ref="B32:D32"/>
    <mergeCell ref="B17:D17"/>
    <mergeCell ref="B3:E3"/>
  </mergeCells>
  <hyperlinks>
    <hyperlink ref="B18" location="'2. Dashboard'!A1" display="2. Dashboard"/>
    <hyperlink ref="B19" location="'3. Mode emploi'!A1" display="3. Mode d'emploi"/>
    <hyperlink ref="B20" location="'4. Paramètres'!A1" display="4. Paramètres fiscaux"/>
    <hyperlink ref="B21" location="'5. Profil'!A1" display="5. Profil client"/>
    <hyperlink ref="B22" location="'6. Comparateur'!A1" display="6. Comparateur"/>
    <hyperlink ref="B23" location="'7. Assimilé salarié'!A1" display="7. Module Assimilé salarié"/>
    <hyperlink ref="B24" location="'8. TNS'!A1" display="8. Module TNS"/>
    <hyperlink ref="B25" location="'9. Libéral'!A1" display="9. Module Libéral"/>
    <hyperlink ref="B26" location="'10. Salarié'!A1" display="10. Module Salarié"/>
    <hyperlink ref="B27" location="'11. Arbitrage'!A1" display="11. Arbitrage global"/>
    <hyperlink ref="B28" location="'12. Synthèse'!A1" display="12. Synthèse dirigeant"/>
    <hyperlink ref="B29" location="'13. Sources'!A1" display="13. Sources &amp; disclaimer"/>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2.xml><?xml version="1.0" encoding="utf-8"?>
<worksheet xmlns="http://schemas.openxmlformats.org/spreadsheetml/2006/main">
  <sheetPr>
    <tabColor rgb="FF548235"/>
    <outlinePr summaryBelow="1" summaryRight="1"/>
    <pageSetUpPr fitToPage="1"/>
  </sheetPr>
  <dimension ref="B2:G45"/>
  <sheetViews>
    <sheetView showGridLines="0" zoomScaleNormal="100" workbookViewId="0">
      <selection activeCell="A1" sqref="A1"/>
    </sheetView>
  </sheetViews>
  <sheetFormatPr baseColWidth="10" defaultColWidth="8.6640625" defaultRowHeight="14.25"/>
  <cols>
    <col width="2" customWidth="1" min="1" max="1"/>
    <col width="18" customWidth="1" min="2" max="7"/>
    <col width="2" customWidth="1" min="8" max="8"/>
    <col width="4" customWidth="1" min="9" max="11"/>
    <col width="2" customWidth="1" min="12" max="12"/>
  </cols>
  <sheetData>
    <row r="2" ht="30" customHeight="1">
      <c r="B2" s="149" t="inlineStr">
        <is>
          <t>Tableau de bord - arbitrage rémunération</t>
        </is>
      </c>
      <c r="G2" s="9" t="inlineStr">
        <is>
          <t>↩ Sommaire</t>
        </is>
      </c>
    </row>
    <row r="3">
      <c r="B3" s="10" t="inlineStr">
        <is>
          <t>Client :</t>
        </is>
      </c>
      <c r="C3" s="150">
        <f>CLIENT_NAME</f>
        <v/>
      </c>
      <c r="E3" s="10" t="inlineStr">
        <is>
          <t>Régime :</t>
        </is>
      </c>
      <c r="F3" s="150">
        <f>REGIME_SOCIAL</f>
        <v/>
      </c>
    </row>
    <row r="4">
      <c r="B4" s="10" t="inlineStr">
        <is>
          <t>Date :</t>
        </is>
      </c>
      <c r="C4" s="11">
        <f>INDEX('5. Profil'!C:C,MATCH("Date de la simulation",'5. Profil'!B:B,0))</f>
        <v/>
      </c>
      <c r="E4" s="10" t="inlineStr">
        <is>
          <t>Effectif :</t>
        </is>
      </c>
      <c r="F4" s="150">
        <f>EFFECTIF</f>
        <v/>
      </c>
    </row>
    <row r="5" ht="21.75" customHeight="1">
      <c r="B5" s="151" t="inlineStr">
        <is>
          <t>🎯 Stratégie recommandée</t>
        </is>
      </c>
      <c r="C5" s="174" t="n"/>
      <c r="D5" s="152">
        <f>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 - 100 % rémunération directe",IF(MAX(INDEX('11.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 - Salaire optimisé + dividendes",IF(MAX(INDEX('11.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 - + Épargne salariale &amp; PER","D - Stratégie complète + périphériques")))</f>
        <v/>
      </c>
      <c r="E5" s="175" t="n"/>
      <c r="F5" s="175" t="n"/>
      <c r="G5" s="174" t="n"/>
    </row>
    <row r="6">
      <c r="B6" s="12" t="inlineStr">
        <is>
          <t>Stratégie sélectionnée</t>
        </is>
      </c>
      <c r="C6" s="153" t="inlineStr">
        <is>
          <t>Reco automatique (max net dirigeant)</t>
        </is>
      </c>
      <c r="D6" s="174" t="n"/>
      <c r="E6" s="10" t="inlineStr">
        <is>
          <t>Stratégie retenue :</t>
        </is>
      </c>
      <c r="F6" s="13">
        <f>IF($C$6="Reco automatique (max net dirigeant)",IF(MAX(INDEX('11.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Arbitrage'!B:B,0)),"C","D"))),LEFT($C$6,1))</f>
        <v/>
      </c>
      <c r="G6" s="156" t="inlineStr">
        <is>
          <t>← lettre A/B/C/D</t>
        </is>
      </c>
    </row>
    <row r="7" ht="18" customHeight="1">
      <c r="B7" s="15" t="inlineStr">
        <is>
          <t>Statut de la sélection</t>
        </is>
      </c>
      <c r="C7" s="145">
        <f>IF($C$6="Reco automatique (max net dirigeant)","✓ Mode automatique - stratégie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Arbitrage'!B:B,0)),"C","D")))&amp;")",IF(LEFT($C$6,1)=IF(MAX(INDEX('11.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 Sélection manuelle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Écart vs reco - la reco automatique est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(vous avez choisi "&amp;LEFT($C$6,1)&amp;")"))</f>
        <v/>
      </c>
      <c r="D7" s="175" t="n"/>
      <c r="E7" s="175" t="n"/>
      <c r="F7" s="175" t="n"/>
      <c r="G7" s="175" t="n"/>
    </row>
    <row r="8" ht="18" customHeight="1">
      <c r="B8" s="146" t="inlineStr">
        <is>
          <t>COÛT TOTAL SOCIÉTÉ</t>
        </is>
      </c>
      <c r="C8" s="176" t="n"/>
      <c r="D8" s="176" t="n"/>
      <c r="E8" s="146" t="inlineStr">
        <is>
          <t>NET DIRIGEANT</t>
        </is>
      </c>
      <c r="F8" s="176" t="n"/>
      <c r="G8" s="176" t="n"/>
    </row>
    <row r="9" ht="21.75" customHeight="1">
      <c r="B9" s="177">
        <f>ENVELOPPE</f>
        <v/>
      </c>
      <c r="C9" s="178" t="n"/>
      <c r="D9" s="178" t="n"/>
      <c r="E9"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f>
        <v/>
      </c>
      <c r="F9" s="178" t="n"/>
      <c r="G9" s="178" t="n"/>
    </row>
    <row r="10" ht="18" customHeight="1">
      <c r="B10" s="179" t="n"/>
      <c r="E10" s="179" t="n"/>
    </row>
    <row r="11" ht="18" customHeight="1">
      <c r="B11" s="146" t="inlineStr">
        <is>
          <t>GAIN vs STRATÉGIE A</t>
        </is>
      </c>
      <c r="C11" s="176" t="n"/>
      <c r="D11" s="176" t="n"/>
      <c r="E11" s="146" t="inlineStr">
        <is>
          <t>EFFICACITÉ FISCALE</t>
        </is>
      </c>
      <c r="F11" s="176" t="n"/>
      <c r="G11" s="176" t="n"/>
    </row>
    <row r="12" ht="21.75" customHeight="1">
      <c r="B12"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f>
        <v/>
      </c>
      <c r="C12" s="178" t="n"/>
      <c r="D12" s="178" t="n"/>
      <c r="E12" s="180">
        <f>IFERROR((IF($F$6="A",INDEX('11.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Arbitrage'!B:B,0))))))/ENVELOPPE,0)</f>
        <v/>
      </c>
      <c r="F12" s="178" t="n"/>
      <c r="G12" s="178" t="n"/>
    </row>
    <row r="13" ht="18" customHeight="1">
      <c r="B13" s="179" t="n"/>
      <c r="E13" s="179" t="n"/>
    </row>
    <row r="14" ht="18" customHeight="1">
      <c r="B14" s="133" t="inlineStr">
        <is>
          <t>Lecture en une phrase</t>
        </is>
      </c>
    </row>
    <row r="15" ht="19.5" customHeight="1">
      <c r="B15" s="144">
        <f>"Avec un budget de "&amp;TEXT(ROUND(ENVELOPPE,0),"# ##0")&amp;" €, la stratégie "&amp;$F$6&amp;" génère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Arbitrage'!B:B,0))))),0),"# ##0")&amp;" € nets pour le dirigeant, soit un gain de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Arbitrage'!B:B,0)),0),"+# ##0;-# ##0;0")&amp;" €"&amp;" ("&amp;IF(INDEX('11. Arbitrage'!C:C,MATCH("TOTAL NET DIRIGEANT APRÈS FISCALITÉ (€)",'11. Arbitrage'!B:B,0))&gt;0,TEXT((IF($F$6="A",INDEX('11.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Arbitrage'!B:B,0))-1,"+0,0%;-0,0%"),"-")&amp;") vs Stratégie A - salaire classique ("&amp;TEXT(ROUND(INDEX('11. Arbitrage'!C:C,MATCH("TOTAL NET DIRIGEANT APRÈS FISCALITÉ (€)",'11. Arbitrage'!B:B,0)),0),"# ##0")&amp;" € nets)."</f>
        <v/>
      </c>
      <c r="C15" s="178" t="n"/>
      <c r="D15" s="178" t="n"/>
      <c r="E15" s="178" t="n"/>
      <c r="F15" s="178" t="n"/>
      <c r="G15" s="178" t="n"/>
    </row>
    <row r="16" ht="19.5" customHeight="1">
      <c r="B16" s="179" t="n"/>
    </row>
    <row r="17" ht="19.5" customHeight="1">
      <c r="B17" s="179" t="n"/>
    </row>
    <row r="19" ht="18" customHeight="1">
      <c r="B19" s="133" t="inlineStr">
        <is>
          <t>Podium - top 3 dispositifs (score ajusté du Comparateur)</t>
        </is>
      </c>
    </row>
    <row r="20" ht="24" customHeight="1">
      <c r="B20" s="16" t="inlineStr">
        <is>
          <t>🥇</t>
        </is>
      </c>
      <c r="C20" s="145">
        <f>IFERROR(INDEX('6. Comparateur'!B:B,MATCH("🥇",'6. Comparateur'!N:N,0)),"-")</f>
        <v/>
      </c>
      <c r="D20" s="175" t="n"/>
      <c r="E20" s="175" t="n"/>
      <c r="F20" s="181">
        <f>IFERROR(INDEX('6. Comparateur'!M:M,MATCH("🥇",'6. Comparateur'!N:N,0)),"-")</f>
        <v/>
      </c>
      <c r="G20" s="18">
        <f>IFERROR(INDEX('6. Comparateur'!L:L,MATCH("🥇",'6. Comparateur'!N:N,0)),"-")</f>
        <v/>
      </c>
    </row>
    <row r="21" ht="24" customHeight="1">
      <c r="B21" s="19" t="inlineStr">
        <is>
          <t>🥈</t>
        </is>
      </c>
      <c r="C21" s="145">
        <f>IFERROR(INDEX('6. Comparateur'!B:B,MATCH("🥈",'6. Comparateur'!N:N,0)),"-")</f>
        <v/>
      </c>
      <c r="D21" s="175" t="n"/>
      <c r="E21" s="175" t="n"/>
      <c r="F21" s="181">
        <f>IFERROR(INDEX('6. Comparateur'!M:M,MATCH("🥈",'6. Comparateur'!N:N,0)),"-")</f>
        <v/>
      </c>
      <c r="G21" s="18">
        <f>IFERROR(INDEX('6. Comparateur'!L:L,MATCH("🥈",'6. Comparateur'!N:N,0)),"-")</f>
        <v/>
      </c>
    </row>
    <row r="22" ht="24" customHeight="1">
      <c r="B22" s="20" t="inlineStr">
        <is>
          <t>🥉</t>
        </is>
      </c>
      <c r="C22" s="145">
        <f>IFERROR(INDEX('6. Comparateur'!B:B,MATCH("🥉",'6. Comparateur'!N:N,0)),"-")</f>
        <v/>
      </c>
      <c r="D22" s="175" t="n"/>
      <c r="E22" s="175" t="n"/>
      <c r="F22" s="181">
        <f>IFERROR(INDEX('6. Comparateur'!M:M,MATCH("🥉",'6. Comparateur'!N:N,0)),"-")</f>
        <v/>
      </c>
      <c r="G22" s="18">
        <f>IFERROR(INDEX('6. Comparateur'!L:L,MATCH("🥉",'6. Comparateur'!N:N,0)),"-")</f>
        <v/>
      </c>
    </row>
    <row r="24" ht="18" customHeight="1">
      <c r="B24" s="133">
        <f>("Composition de la stratégie sélectionnée - "&amp;$F$6)</f>
        <v/>
      </c>
    </row>
    <row r="25" ht="15" customHeight="1">
      <c r="B25" s="21" t="inlineStr">
        <is>
          <t>Inclus</t>
        </is>
      </c>
      <c r="C25" s="143" t="inlineStr">
        <is>
          <t>Dispositif</t>
        </is>
      </c>
      <c r="D25" s="175" t="n"/>
      <c r="E25" s="21" t="inlineStr">
        <is>
          <t>Montant</t>
        </is>
      </c>
      <c r="F25" s="21" t="inlineStr">
        <is>
          <t>Risque</t>
        </is>
      </c>
      <c r="G25" s="21" t="inlineStr">
        <is>
          <t>Commentaire</t>
        </is>
      </c>
    </row>
    <row r="26" ht="19.5" customHeight="1">
      <c r="B26" s="22">
        <f>IF(AND(TOG_PARTICIPATION="Oui",$F$6&gt;="B"),"✓","")</f>
        <v/>
      </c>
      <c r="C26" s="140" t="inlineStr">
        <is>
          <t>Participation</t>
        </is>
      </c>
      <c r="D26" s="175" t="n"/>
      <c r="E26" s="182">
        <f>IF(AND(TOG_PARTICIPATION="Oui",$F$6&gt;="B"),M_PARTICIPATION,"")</f>
        <v/>
      </c>
      <c r="F26" s="24" t="inlineStr">
        <is>
          <t>🟢 Sécurisé</t>
        </is>
      </c>
      <c r="G26" s="158" t="inlineStr">
        <is>
          <t>Cadre légal stable, exo IR si placement 5 ans en PEE.</t>
        </is>
      </c>
    </row>
    <row r="27" ht="19.5" customHeight="1">
      <c r="B27" s="22">
        <f>IF(AND(TOG_INTERESSEMENT="Oui",$F$6&gt;="B"),"✓","")</f>
        <v/>
      </c>
      <c r="C27" s="140" t="inlineStr">
        <is>
          <t>Intéressement</t>
        </is>
      </c>
      <c r="D27" s="175" t="n"/>
      <c r="E27" s="182">
        <f>IF(AND(TOG_INTERESSEMENT="Oui",$F$6&gt;="B"),M_INTERESSEMENT,"")</f>
        <v/>
      </c>
      <c r="F27" s="24" t="inlineStr">
        <is>
          <t>🟢 Sécurisé</t>
        </is>
      </c>
      <c r="G27" s="158" t="inlineStr">
        <is>
          <t>Accord triennal ; aléatoire et collectif.</t>
        </is>
      </c>
    </row>
    <row r="28" ht="19.5" customHeight="1">
      <c r="B28" s="22">
        <f>IF(AND(TOG_ABO_PEE="Oui",$F$6&gt;="B"),"✓","")</f>
        <v/>
      </c>
      <c r="C28" s="140" t="inlineStr">
        <is>
          <t>Abondement PEE</t>
        </is>
      </c>
      <c r="D28" s="175" t="n"/>
      <c r="E28" s="182">
        <f>IF(AND(TOG_ABO_PEE="Oui",$F$6&gt;="B"),M_ABO_PEE,"")</f>
        <v/>
      </c>
      <c r="F28" s="24" t="inlineStr">
        <is>
          <t>🟢 Sécurisé</t>
        </is>
      </c>
      <c r="G28" s="158" t="inlineStr">
        <is>
          <t>Plafond 8 % PASS, triplement contributions salarié.</t>
        </is>
      </c>
    </row>
    <row r="29" ht="19.5" customHeight="1">
      <c r="B29" s="22">
        <f>IF(AND(TOG_ABO_PER="Oui",$F$6&gt;="B"),"✓","")</f>
        <v/>
      </c>
      <c r="C29" s="140" t="inlineStr">
        <is>
          <t>Abondement PER collectif</t>
        </is>
      </c>
      <c r="D29" s="175" t="n"/>
      <c r="E29" s="182">
        <f>IF(AND(TOG_ABO_PER="Oui",$F$6&gt;="B"),M_ABO_PER,"")</f>
        <v/>
      </c>
      <c r="F29" s="24" t="inlineStr">
        <is>
          <t>🟢 Sécurisé</t>
        </is>
      </c>
      <c r="G29" s="158" t="inlineStr">
        <is>
          <t>Plafond 16 % PASS.</t>
        </is>
      </c>
    </row>
    <row r="30" ht="19.5" customHeight="1">
      <c r="B30" s="22">
        <f>IF(AND(TOG_PERIN="Oui",$F$6&gt;="B"),"✓","")</f>
        <v/>
      </c>
      <c r="C30" s="140" t="inlineStr">
        <is>
          <t>PER individuel</t>
        </is>
      </c>
      <c r="D30" s="175" t="n"/>
      <c r="E30" s="182">
        <f>IF(AND(TOG_PERIN="Oui",$F$6&gt;="B"),M_PERIN,"")</f>
        <v/>
      </c>
      <c r="F30" s="24" t="inlineStr">
        <is>
          <t>🟢 Sécurisé</t>
        </is>
      </c>
      <c r="G30" s="158" t="inlineStr">
        <is>
          <t>Versement déductible IR. Fiscalité différée à la sortie.</t>
        </is>
      </c>
    </row>
    <row r="31" ht="19.5" customHeight="1">
      <c r="B31" s="22">
        <f>IF(AND(TOG_AVANTAGES="Oui",$F$6&gt;="C"),"✓","")</f>
        <v/>
      </c>
      <c r="C31" s="140" t="inlineStr">
        <is>
          <t>Avantages en nature</t>
        </is>
      </c>
      <c r="D31" s="175" t="n"/>
      <c r="E31" s="182">
        <f>IF(AND(TOG_AVANTAGES="Oui",$F$6&gt;="C"),M_AVANTAGES,"")</f>
        <v/>
      </c>
      <c r="F31" s="24" t="inlineStr">
        <is>
          <t>🟠 À valider</t>
        </is>
      </c>
      <c r="G31" s="158" t="inlineStr">
        <is>
          <t>Évaluation forfait vs réel - vérifier conformité arrêté 25/12/2002.</t>
        </is>
      </c>
    </row>
    <row r="32" ht="19.5" customHeight="1">
      <c r="B32" s="22">
        <f>IF(AND(TOG_TR="Oui",$F$6&gt;="B"),"✓","")</f>
        <v/>
      </c>
      <c r="C32" s="140" t="inlineStr">
        <is>
          <t>Tickets restaurant</t>
        </is>
      </c>
      <c r="D32" s="175" t="n"/>
      <c r="E32" s="182">
        <f>IF(AND(TOG_TR="Oui",$F$6&gt;="B"),M_TR,"")</f>
        <v/>
      </c>
      <c r="F32" s="24" t="inlineStr">
        <is>
          <t>🟢 Sécurisé</t>
        </is>
      </c>
      <c r="G32" s="158" t="inlineStr">
        <is>
          <t>Part employeur exo ≤ 7,26 €/titre (60 % max).</t>
        </is>
      </c>
    </row>
    <row r="33" ht="19.5" customHeight="1">
      <c r="B33" s="22">
        <f>IF(AND(TOG_CESU="Oui",$F$6&gt;="B"),"✓","")</f>
        <v/>
      </c>
      <c r="C33" s="140" t="inlineStr">
        <is>
          <t>CESU préfinancé</t>
        </is>
      </c>
      <c r="D33" s="175" t="n"/>
      <c r="E33" s="182">
        <f>IF(AND(TOG_CESU="Oui",$F$6&gt;="B"),M_CESU,"")</f>
        <v/>
      </c>
      <c r="F33" s="24" t="inlineStr">
        <is>
          <t>🟢 Sécurisé</t>
        </is>
      </c>
      <c r="G33" s="158" t="inlineStr">
        <is>
          <t>Exo ≤ 2 540 €/an/salarié.</t>
        </is>
      </c>
    </row>
    <row r="34" ht="19.5" customHeight="1">
      <c r="B34" s="22">
        <f>IF(AND(TOG_CADO="Oui",$F$6&gt;="C"),"✓","")</f>
        <v/>
      </c>
      <c r="C34" s="140" t="inlineStr">
        <is>
          <t>Chèques cadeaux &amp; vacances</t>
        </is>
      </c>
      <c r="D34" s="175" t="n"/>
      <c r="E34" s="182">
        <f>IF(AND(TOG_CADO="Oui",$F$6&gt;="C"),M_CADO,"")</f>
        <v/>
      </c>
      <c r="F34" s="24" t="inlineStr">
        <is>
          <t>🟠 À valider</t>
        </is>
      </c>
      <c r="G34" s="158" t="inlineStr">
        <is>
          <t>Tolérance URSSAF - non opposable de droit ; respecter les seuils.</t>
        </is>
      </c>
    </row>
    <row r="35" ht="19.5" customHeight="1">
      <c r="B35" s="22">
        <f>IF(AND(TOG_MUTUELLE="Oui",$F$6&gt;="B"),"✓","")</f>
        <v/>
      </c>
      <c r="C35" s="140" t="inlineStr">
        <is>
          <t>Mutuelle / prévoyance</t>
        </is>
      </c>
      <c r="D35" s="175" t="n"/>
      <c r="E35" s="182">
        <f>IF(AND(TOG_MUTUELLE="Oui",$F$6&gt;="B"),M_MUTUELLE,"")</f>
        <v/>
      </c>
      <c r="F35" s="24" t="inlineStr">
        <is>
          <t>🟢 Sécurisé</t>
        </is>
      </c>
      <c r="G35" s="158" t="inlineStr">
        <is>
          <t>Contrat collectif obligatoire. Part patronale CSG/CRDS.</t>
        </is>
      </c>
    </row>
    <row r="36" ht="19.5" customHeight="1">
      <c r="B36" s="22">
        <f>IF(AND(TOG_IK="Oui",$F$6&gt;="C"),"✓","")</f>
        <v/>
      </c>
      <c r="C36" s="140" t="inlineStr">
        <is>
          <t>Indemnités kilométriques</t>
        </is>
      </c>
      <c r="D36" s="175" t="n"/>
      <c r="E36" s="182">
        <f>IF(AND(TOG_IK="Oui",$F$6&gt;="C"),M_IK,"")</f>
        <v/>
      </c>
      <c r="F36" s="24" t="inlineStr">
        <is>
          <t>🟠 À valider</t>
        </is>
      </c>
      <c r="G36" s="158" t="inlineStr">
        <is>
          <t>Respecter le barème fiscal annuel ; justifier les déplacements.</t>
        </is>
      </c>
    </row>
    <row r="37" ht="19.5" customHeight="1">
      <c r="B37" s="25">
        <f>IF(AND(TOG_CASHBACK="Oui",$F$6&gt;="D"),"✓","")</f>
        <v/>
      </c>
      <c r="C37" s="141" t="inlineStr">
        <is>
          <t>💸 Cashback (programme partenaire)</t>
        </is>
      </c>
      <c r="D37" s="175" t="n"/>
      <c r="E37" s="183">
        <f>IF(AND(TOG_CASHBACK="Oui",$F$6&gt;="D"),M_CASHBACK,"")</f>
        <v/>
      </c>
      <c r="F37" s="24">
        <f>CASHBACK_BADGE</f>
        <v/>
      </c>
      <c r="G37" s="27" t="inlineStr">
        <is>
          <t>Risque selon mode de déploiement (cf. Profil §7) - note technique en feuille « 13. Sources ».</t>
        </is>
      </c>
    </row>
    <row r="38" ht="15.75" customHeight="1">
      <c r="B38" s="142" t="inlineStr">
        <is>
          <t>Note : la rémunération directe (salaire/dividendes) absorbe le solde de l'enveloppe = ENVELOPPE − somme des dispositifs ci-dessus.</t>
        </is>
      </c>
    </row>
    <row r="40" ht="21.75" customHeight="1">
      <c r="B40" s="138" t="inlineStr">
        <is>
          <t>ℹ La recommandation de stratégie est basée sur le net dirigeant maximal. Le scoring (podium ci-dessus) sert à comparer les dispositifs individuellement - il n'influence pas la sélection de la stratégie.</t>
        </is>
      </c>
      <c r="C40" s="176" t="n"/>
      <c r="D40" s="176" t="n"/>
      <c r="E40" s="176" t="n"/>
      <c r="F40" s="176" t="n"/>
      <c r="G40" s="176" t="n"/>
    </row>
    <row r="41" ht="18" customHeight="1">
      <c r="B41" s="139">
        <f>IF(AND(TOG_CASHBACK="Oui",$F$6&gt;="D"),"⚠ Cashback inclus dans cette stratégie - Mode de déploiement défini en Profil §7. Susceptible de requalification URSSAF selon l'usage et la fréquence. Sécuriser avec le cabinet avant déploiement. Cf. note technique en feuille « 13. Sources ».","")</f>
        <v/>
      </c>
    </row>
    <row r="42" ht="18" customHeight="1"/>
    <row r="44" ht="13.5" customHeight="1">
      <c r="B44" s="134" t="inlineStr">
        <is>
          <t>Document préparé par [Cabinet] - Outil indicatif à usage professionnel ne se substituant pas à un conseil personnalisé. Paramètres fiscaux à mettre à jour annuellement. Cf. feuille « 13. Sources ».</t>
        </is>
      </c>
    </row>
    <row r="45" ht="13.5" customHeight="1"/>
  </sheetData>
  <mergeCells count="38">
    <mergeCell ref="B11:D11"/>
    <mergeCell ref="C34:D34"/>
    <mergeCell ref="C6:D6"/>
    <mergeCell ref="C30:D30"/>
    <mergeCell ref="C20:E20"/>
    <mergeCell ref="B14:G14"/>
    <mergeCell ref="C33:D33"/>
    <mergeCell ref="B8:D8"/>
    <mergeCell ref="C22:E22"/>
    <mergeCell ref="E12:G13"/>
    <mergeCell ref="C21:E21"/>
    <mergeCell ref="D5:G5"/>
    <mergeCell ref="C26:D26"/>
    <mergeCell ref="C35:D35"/>
    <mergeCell ref="B38:G38"/>
    <mergeCell ref="B19:G19"/>
    <mergeCell ref="B41:G42"/>
    <mergeCell ref="C29:D29"/>
    <mergeCell ref="E11:G11"/>
    <mergeCell ref="B2:F2"/>
    <mergeCell ref="C25:D25"/>
    <mergeCell ref="B12:D13"/>
    <mergeCell ref="B40:G40"/>
    <mergeCell ref="C31:D31"/>
    <mergeCell ref="B24:G24"/>
    <mergeCell ref="B15:G17"/>
    <mergeCell ref="C27:D27"/>
    <mergeCell ref="C36:D36"/>
    <mergeCell ref="E9:G10"/>
    <mergeCell ref="C7:G7"/>
    <mergeCell ref="C32:D32"/>
    <mergeCell ref="B5:C5"/>
    <mergeCell ref="B44:G45"/>
    <mergeCell ref="E8:G8"/>
    <mergeCell ref="C37:D37"/>
    <mergeCell ref="C28:D28"/>
    <mergeCell ref="B9:D10"/>
    <mergeCell ref="C3:D3"/>
  </mergeCells>
  <conditionalFormatting sqref="B41:G42">
    <cfRule type="expression" priority="7" dxfId="17">
      <formula>LEN(TRIM($B$41))&gt;0</formula>
    </cfRule>
  </conditionalFormatting>
  <conditionalFormatting sqref="C7:G7">
    <cfRule type="expression" priority="2" dxfId="1">
      <formula>LEFT($C$7,1)="✓"</formula>
    </cfRule>
    <cfRule type="expression" priority="3" dxfId="7">
      <formula>LEFT($C$7,1)="⚠"</formula>
    </cfRule>
  </conditionalFormatting>
  <conditionalFormatting sqref="F26:F37">
    <cfRule type="expression" priority="4" dxfId="1">
      <formula>ISNUMBER(SEARCH("Sécurisé",F26))</formula>
    </cfRule>
    <cfRule type="expression" priority="5" dxfId="7">
      <formula>ISNUMBER(SEARCH("À valider",F26))</formula>
    </cfRule>
    <cfRule type="expression" priority="6" dxfId="0">
      <formula>ISNUMBER(SEARCH("Optimisé",F26))</formula>
    </cfRule>
  </conditionalFormatting>
  <dataValidations count="1">
    <dataValidation sqref="C6" showDropDown="0" showInputMessage="0" showErrorMessage="0" allowBlank="0" type="list">
      <formula1>"Reco automatique (max net dirigeant),A - 100 % rémunération directe,B - Salaire optimisé + dividendes,C - + Épargne salariale &amp; PER,D - Stratégie complète + périphériques"</formula1>
      <formula2>0</formula2>
    </dataValidation>
  </dataValidations>
  <hyperlinks>
    <hyperlink ref="G2" location="'1. Garde'!A1" display="↩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3.xml><?xml version="1.0" encoding="utf-8"?>
<worksheet xmlns="http://schemas.openxmlformats.org/spreadsheetml/2006/main">
  <sheetPr>
    <tabColor rgb="FFA6A6A6"/>
    <outlinePr summaryBelow="1" summaryRight="1"/>
    <pageSetUpPr/>
  </sheetPr>
  <dimension ref="A1:H33"/>
  <sheetViews>
    <sheetView showGridLines="0" zoomScaleNormal="100" workbookViewId="0">
      <pane ySplit="3" topLeftCell="A10" activePane="bottomLeft" state="frozen"/>
      <selection pane="bottomLeft" activeCell="F9" sqref="F9"/>
    </sheetView>
  </sheetViews>
  <sheetFormatPr baseColWidth="10" defaultColWidth="8.6640625" defaultRowHeight="14.25"/>
  <cols>
    <col width="4" customWidth="1" min="1" max="1"/>
    <col width="36" customWidth="1" min="2" max="2"/>
    <col width="70" customWidth="1" min="3" max="3"/>
    <col width="4" customWidth="1" min="4" max="4"/>
  </cols>
  <sheetData>
    <row r="1" ht="31.5" customHeight="1">
      <c r="A1" s="135" t="inlineStr">
        <is>
          <t>3.  Mode d'emploi</t>
        </is>
      </c>
      <c r="H1" s="9" t="inlineStr">
        <is>
          <t>↩ Retour sommaire</t>
        </is>
      </c>
    </row>
    <row r="2" ht="19.5" customHeight="1">
      <c r="A2" s="136" t="inlineStr">
        <is>
          <t>Comment utiliser l'outil - workflow recommandé.</t>
        </is>
      </c>
    </row>
    <row r="4" ht="21.75" customHeight="1">
      <c r="B4" s="133" t="inlineStr">
        <is>
          <t>WORKFLOW RECOMMANDÉ</t>
        </is>
      </c>
    </row>
    <row r="5" ht="36" customHeight="1">
      <c r="B5" s="29" t="inlineStr">
        <is>
          <t>Étape 1</t>
        </is>
      </c>
      <c r="C5" s="30" t="inlineStr">
        <is>
          <t>Vérifier les paramètres fiscaux (feuille « 4. Paramètres »). Mettre à jour les cellules jaunes si nécessaire (changements LF / PLFSS de l'année).</t>
        </is>
      </c>
    </row>
    <row r="6" ht="36" customHeight="1">
      <c r="B6" s="29" t="inlineStr">
        <is>
          <t>Étape 2</t>
        </is>
      </c>
      <c r="C6" s="30" t="inlineStr">
        <is>
          <t>Saisir le profil du client (feuille « 5. Profil ») : forme juridique, foyer fiscal, enveloppe à arbitrer, et activer/désactiver les dispositifs souhaités.</t>
        </is>
      </c>
    </row>
    <row r="7" ht="36" customHeight="1">
      <c r="B7" s="29" t="inlineStr">
        <is>
          <t>Étape 3</t>
        </is>
      </c>
      <c r="C7" s="30" t="inlineStr">
        <is>
          <t>Consulter le comparateur (feuille « 6. Comparateur ») pour identifier les dispositifs les plus efficaces (ratio net/coût).</t>
        </is>
      </c>
    </row>
    <row r="8" ht="36" customHeight="1">
      <c r="B8" s="29" t="inlineStr">
        <is>
          <t>Étape 4</t>
        </is>
      </c>
      <c r="C8" s="30" t="inlineStr">
        <is>
          <t>Approfondir avec le module population (feuilles 6 à 9) correspondant au régime social du client.</t>
        </is>
      </c>
    </row>
    <row r="9" ht="36" customHeight="1">
      <c r="B9" s="29" t="inlineStr">
        <is>
          <t>Étape 5</t>
        </is>
      </c>
      <c r="C9" s="30" t="inlineStr">
        <is>
          <t>Modéliser 4 stratégies à enveloppe constante (feuille « 11. Arbitrage ») et choisir la combinaison optimale.</t>
        </is>
      </c>
    </row>
    <row r="10" ht="36" customHeight="1">
      <c r="B10" s="29" t="inlineStr">
        <is>
          <t>Étape 6</t>
        </is>
      </c>
      <c r="C10" s="30" t="inlineStr">
        <is>
          <t>Présenter la synthèse dirigeant (feuille « 12. Synthèse ») au client. Imprimer ou exporter en PDF.</t>
        </is>
      </c>
    </row>
    <row r="12" ht="21.75" customHeight="1">
      <c r="B12" s="133" t="inlineStr">
        <is>
          <t>LÉGENDE DES COULEURS</t>
        </is>
      </c>
    </row>
    <row r="13" ht="21.75" customHeight="1">
      <c r="B13" s="31" t="inlineStr">
        <is>
          <t>Cellule bleue / fond jaune clair</t>
        </is>
      </c>
      <c r="C13" s="30" t="inlineStr">
        <is>
          <t>Input modifiable par l'utilisateur (montants, choix client).</t>
        </is>
      </c>
    </row>
    <row r="14" ht="21.75" customHeight="1">
      <c r="B14" s="32" t="inlineStr">
        <is>
          <t>Cellule bleue / fond jaune marqué</t>
        </is>
      </c>
      <c r="C14" s="30" t="inlineStr">
        <is>
          <t>Paramètre fiscal à mettre à jour annuellement.</t>
        </is>
      </c>
    </row>
    <row r="15" ht="21.75" customHeight="1">
      <c r="B15" s="4" t="inlineStr">
        <is>
          <t>Cellule noire</t>
        </is>
      </c>
      <c r="C15" s="30" t="inlineStr">
        <is>
          <t>Cellule de calcul / formule dérivée - ne pas modifier.</t>
        </is>
      </c>
    </row>
    <row r="16" ht="21.75" customHeight="1">
      <c r="B16" s="4" t="inlineStr">
        <is>
          <t>Texte vert</t>
        </is>
      </c>
      <c r="C16" s="30" t="inlineStr">
        <is>
          <t>Lien vers une autre feuille (defined name ou référence inter-feuilles).</t>
        </is>
      </c>
    </row>
    <row r="17" ht="21.75" customHeight="1">
      <c r="B17" s="132" t="inlineStr">
        <is>
          <t>Bandeau bleu marine</t>
        </is>
      </c>
      <c r="C17" s="30" t="inlineStr">
        <is>
          <t>En-tête de section.</t>
        </is>
      </c>
    </row>
    <row r="19" ht="21.75" customHeight="1">
      <c r="B19" s="133" t="inlineStr">
        <is>
          <t>ONGLETS - CODES COULEUR</t>
        </is>
      </c>
    </row>
    <row r="20">
      <c r="B20" s="4" t="inlineStr">
        <is>
          <t>Gris</t>
        </is>
      </c>
      <c r="C20" s="33" t="inlineStr">
        <is>
          <t>Page de garde, mode d'emploi, sources &amp; disclaimer</t>
        </is>
      </c>
    </row>
    <row r="21">
      <c r="B21" s="4" t="inlineStr">
        <is>
          <t>Violet</t>
        </is>
      </c>
      <c r="C21" s="33" t="inlineStr">
        <is>
          <t>Référentiel fiscal &amp; social (paramètres)</t>
        </is>
      </c>
    </row>
    <row r="22">
      <c r="B22" s="4" t="inlineStr">
        <is>
          <t>Orange</t>
        </is>
      </c>
      <c r="C22" s="33" t="inlineStr">
        <is>
          <t>Inputs / profil client</t>
        </is>
      </c>
    </row>
    <row r="23">
      <c r="B23" s="4" t="inlineStr">
        <is>
          <t>Bleu marine</t>
        </is>
      </c>
      <c r="C23" s="33" t="inlineStr">
        <is>
          <t>Modules de calcul (comparateur + modules par population + arbitrage)</t>
        </is>
      </c>
    </row>
    <row r="24">
      <c r="B24" s="4" t="inlineStr">
        <is>
          <t>Vert</t>
        </is>
      </c>
      <c r="C24" s="33" t="inlineStr">
        <is>
          <t>Synthèse dirigeant - livrable client</t>
        </is>
      </c>
    </row>
    <row r="26" ht="21.75" customHeight="1">
      <c r="B26" s="133" t="inlineStr">
        <is>
          <t>EXPORT PDF &amp; PERSONNALISATION CABINET</t>
        </is>
      </c>
    </row>
    <row r="27" ht="36" customHeight="1">
      <c r="B27" s="34" t="inlineStr">
        <is>
          <t>1. Renommer le fichier</t>
        </is>
      </c>
      <c r="C27" s="30" t="inlineStr">
        <is>
          <t>Avant export, renommer le classeur sous la forme « [Nom_Cabinet]_Outil_arbitrage_[ClientX]_v13.xlsx ». Ce nom apparaîtra automatiquement dans le pied de page de chaque page imprimée (signature cabinet).</t>
        </is>
      </c>
    </row>
    <row r="28" ht="36" customHeight="1">
      <c r="B28" s="34" t="inlineStr">
        <is>
          <t>2. Saisir les inputs cabinet</t>
        </is>
      </c>
      <c r="C28" s="30" t="inlineStr">
        <is>
          <t>En feuille « 5. Profil » section 1 : renseigner « Cabinet », « Expert-comptable en charge » et « Nom du client ». Ces valeurs se propagent automatiquement sur la page de garde et la synthèse.</t>
        </is>
      </c>
    </row>
    <row r="29" ht="36" customHeight="1">
      <c r="B29" s="34" t="inlineStr">
        <is>
          <t>3. Générer le PDF</t>
        </is>
      </c>
      <c r="C29" s="30" t="inlineStr">
        <is>
          <t>Fichier → Exporter → Créer un document PDF/XPS. Dans « Options », cocher « Feuilles » et sélectionner manuellement l'ordre suivant : 1. Garde / 2. Dashboard / 12. Synthèse / Scénarios A vs B (si pertinent) / 11. Arbitrage / 13. Sources.</t>
        </is>
      </c>
    </row>
    <row r="30" ht="36" customHeight="1">
      <c r="B30" s="34" t="inlineStr">
        <is>
          <t>4. Personnaliser le footer (optionnel)</t>
        </is>
      </c>
      <c r="C30" s="30" t="inlineStr">
        <is>
          <t>Pour ajouter un libellé spécifique (ex : « Cabinet Dupont - Confidentiel ») : Mise en page → Pied de page → modifier le bloc gauche. Le réglage est conservé sur toutes les feuilles configurées pour l'export.</t>
        </is>
      </c>
    </row>
    <row r="33" ht="15" customHeight="1">
      <c r="A33" s="134" t="inlineStr">
        <is>
          <t>Outil indicatif à usage professionnel - ne se substitue pas à un conseil personnalisé. Paramètres fiscaux à mettre à jour annuellement (cf. feuille « 13. Sources »).</t>
        </is>
      </c>
    </row>
  </sheetData>
  <mergeCells count="7">
    <mergeCell ref="A1:G1"/>
    <mergeCell ref="B19:C19"/>
    <mergeCell ref="A2:G2"/>
    <mergeCell ref="A33:H33"/>
    <mergeCell ref="B26:C26"/>
    <mergeCell ref="B4:C4"/>
    <mergeCell ref="B12:C1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7030A0"/>
    <outlinePr summaryBelow="1" summaryRight="1"/>
    <pageSetUpPr/>
  </sheetPr>
  <dimension ref="A1:H135"/>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50" customWidth="1" min="2" max="2"/>
    <col width="18" customWidth="1" min="3" max="3"/>
    <col width="14" customWidth="1" min="4" max="4"/>
    <col width="60" customWidth="1" min="5" max="5"/>
    <col width="4" customWidth="1" min="6" max="7"/>
  </cols>
  <sheetData>
    <row r="1" ht="31.5" customHeight="1">
      <c r="A1" s="135" t="inlineStr">
        <is>
          <t>3.  Paramètres fiscaux &amp; sociaux</t>
        </is>
      </c>
      <c r="H1" s="9" t="inlineStr">
        <is>
          <t>↩ Retour sommaire</t>
        </is>
      </c>
    </row>
    <row r="2" ht="19.5" customHeight="1">
      <c r="A2" s="136" t="inlineStr">
        <is>
          <t>Référentiel 2025 - à mettre à jour annuellement (cellules jaunes)</t>
        </is>
      </c>
    </row>
    <row r="4" ht="21.75" customHeight="1">
      <c r="B4" s="133" t="inlineStr">
        <is>
          <t>1. PLAFOND DE LA SÉCURITÉ SOCIALE (PASS)</t>
        </is>
      </c>
    </row>
    <row r="5">
      <c r="B5" s="35" t="inlineStr">
        <is>
          <t>Libellé</t>
        </is>
      </c>
      <c r="C5" s="35" t="inlineStr">
        <is>
          <t>Valeur</t>
        </is>
      </c>
      <c r="E5" s="35" t="inlineStr">
        <is>
          <t>Source / référence</t>
        </is>
      </c>
    </row>
    <row r="6">
      <c r="B6" s="36" t="inlineStr">
        <is>
          <t>PASS annuel 2026 (€)</t>
        </is>
      </c>
      <c r="C6" s="184" t="n">
        <v>48060</v>
      </c>
      <c r="E6" s="142" t="inlineStr">
        <is>
          <t>Arrêté du 22/12/2025 - JORF du 23/12/2025 (+2,0 % vs 2025)</t>
        </is>
      </c>
    </row>
    <row r="7">
      <c r="B7" s="36" t="inlineStr">
        <is>
          <t>PMSS (mensuel) (€)</t>
        </is>
      </c>
      <c r="C7" s="185">
        <f>C6/12</f>
        <v/>
      </c>
      <c r="E7" s="142" t="inlineStr">
        <is>
          <t>Calculé : PASS / 12 = 4 005 € en 2026</t>
        </is>
      </c>
    </row>
    <row r="9" ht="21.75" customHeight="1">
      <c r="B9" s="133" t="inlineStr">
        <is>
          <t>2. BARÈME IMPÔT SUR LE REVENU 2026 (revenus 2025)</t>
        </is>
      </c>
    </row>
    <row r="10">
      <c r="B10" s="29" t="inlineStr">
        <is>
          <t>Tranche</t>
        </is>
      </c>
      <c r="C10" s="29" t="inlineStr">
        <is>
          <t>Plafond haut (€)</t>
        </is>
      </c>
      <c r="D10" s="29" t="inlineStr">
        <is>
          <t>Taux</t>
        </is>
      </c>
      <c r="E10" s="29" t="inlineStr">
        <is>
          <t>Source</t>
        </is>
      </c>
    </row>
    <row r="11" ht="15" customHeight="1">
      <c r="B11" s="33" t="inlineStr">
        <is>
          <t>Jusqu'à</t>
        </is>
      </c>
      <c r="C11" s="184" t="n">
        <v>11600</v>
      </c>
      <c r="D11" s="39" t="n">
        <v>0</v>
      </c>
      <c r="E11" s="142" t="inlineStr">
        <is>
          <t>CGI art. 197 - LF 2025 (revalorisation +1,8 %). Plafonnement quotient familial : 1 791 €/demi-part (CGI art. 197, I-2).</t>
        </is>
      </c>
    </row>
    <row r="12">
      <c r="B12" s="33" t="inlineStr">
        <is>
          <t>De 11 601 à</t>
        </is>
      </c>
      <c r="C12" s="184" t="n">
        <v>29579</v>
      </c>
      <c r="D12" s="39" t="n">
        <v>0.11</v>
      </c>
    </row>
    <row r="13">
      <c r="B13" s="33" t="inlineStr">
        <is>
          <t>De 29 580 à</t>
        </is>
      </c>
      <c r="C13" s="184" t="n">
        <v>84577</v>
      </c>
      <c r="D13" s="39" t="n">
        <v>0.3</v>
      </c>
    </row>
    <row r="14">
      <c r="B14" s="33" t="inlineStr">
        <is>
          <t>De 84 578 à</t>
        </is>
      </c>
      <c r="C14" s="184" t="n">
        <v>181917</v>
      </c>
      <c r="D14" s="39" t="n">
        <v>0.41</v>
      </c>
    </row>
    <row r="15">
      <c r="B15" s="33" t="inlineStr">
        <is>
          <t>Au-delà de 181 917</t>
        </is>
      </c>
      <c r="C15" s="40" t="n">
        <v>1000000000000</v>
      </c>
      <c r="D15" s="39" t="n">
        <v>0.45</v>
      </c>
    </row>
    <row r="17" ht="21.75" customHeight="1">
      <c r="B17" s="133" t="inlineStr">
        <is>
          <t>3. CSG / CRDS &amp; PRÉLÈVEMENTS SOCIAUX</t>
        </is>
      </c>
    </row>
    <row r="18">
      <c r="B18" s="29" t="inlineStr">
        <is>
          <t>Libellé</t>
        </is>
      </c>
      <c r="C18" s="29" t="inlineStr">
        <is>
          <t>Taux</t>
        </is>
      </c>
      <c r="E18" s="29" t="inlineStr">
        <is>
          <t>Source</t>
        </is>
      </c>
    </row>
    <row r="19">
      <c r="B19" s="33" t="inlineStr">
        <is>
          <t>CSG sur revenus d'activité - part déductible</t>
        </is>
      </c>
      <c r="C19" s="39" t="n">
        <v>0.068</v>
      </c>
      <c r="E19" s="142" t="inlineStr">
        <is>
          <t>CSS art. L.136-8, BOI-RSA-BASE-30-30</t>
        </is>
      </c>
    </row>
    <row r="20">
      <c r="B20" s="33" t="inlineStr">
        <is>
          <t>CSG sur revenus d'activité - part non déductible</t>
        </is>
      </c>
      <c r="C20" s="39" t="n">
        <v>0.024</v>
      </c>
      <c r="E20" s="142" t="inlineStr">
        <is>
          <t>CSS art. L.136-8</t>
        </is>
      </c>
    </row>
    <row r="21">
      <c r="B21" s="33" t="inlineStr">
        <is>
          <t>CRDS sur revenus d'activité (non déductible)</t>
        </is>
      </c>
      <c r="C21" s="39" t="n">
        <v>0.005</v>
      </c>
      <c r="E21" s="142" t="inlineStr">
        <is>
          <t>Ordonnance n°96-50 du 24/01/1996</t>
        </is>
      </c>
    </row>
    <row r="22">
      <c r="B22" s="33" t="inlineStr">
        <is>
          <t>CSG/CRDS revenus d'activité - TOTAL</t>
        </is>
      </c>
      <c r="C22" s="39" t="n">
        <v>0.097</v>
      </c>
      <c r="E22" s="142" t="inlineStr">
        <is>
          <t>Calculé</t>
        </is>
      </c>
    </row>
    <row r="23">
      <c r="B23" s="33" t="inlineStr">
        <is>
          <t>Assiette CSG/CRDS sur salaire (% du brut)</t>
        </is>
      </c>
      <c r="C23" s="39" t="n">
        <v>0.9825</v>
      </c>
      <c r="E23" s="142" t="inlineStr">
        <is>
          <t>Abattement de 1,75 % sur ≤4 PASS - CSS art. L.136-2</t>
        </is>
      </c>
    </row>
    <row r="24">
      <c r="B24" s="33" t="inlineStr">
        <is>
          <t>CSG sur revenus du capital - part déductible 2026</t>
        </is>
      </c>
      <c r="C24" s="39" t="n">
        <v>0.068</v>
      </c>
      <c r="E24" s="142" t="inlineStr">
        <is>
          <t>CSS art. L.136-6 - taux dérog. 9,2 % maintenu sur fonciers, AV</t>
        </is>
      </c>
    </row>
    <row r="25">
      <c r="B25" s="33" t="inlineStr">
        <is>
          <t>Prélèvements sociaux sur revenus du capital 2026 - TOTAL</t>
        </is>
      </c>
      <c r="C25" s="39" t="n">
        <v>0.186</v>
      </c>
      <c r="E25" s="142" t="inlineStr">
        <is>
          <t>LFSS 2026 art. 12 : CSG 10,6 % + CRDS 0,5 % + PS 7,5 % = 18,6 % (vs 17,2 % avant)</t>
        </is>
      </c>
    </row>
    <row r="27" ht="21.75" customHeight="1">
      <c r="B27" s="133" t="inlineStr">
        <is>
          <t>4. COTISATIONS SOCIALES - TAUX MOYENS INDICATIFS</t>
        </is>
      </c>
    </row>
    <row r="28">
      <c r="B28" s="29" t="inlineStr">
        <is>
          <t>Régime / nature</t>
        </is>
      </c>
      <c r="C28" s="29" t="inlineStr">
        <is>
          <t>Taux</t>
        </is>
      </c>
      <c r="E28" s="29" t="inlineStr">
        <is>
          <t>Précision / source</t>
        </is>
      </c>
    </row>
    <row r="29" ht="30" customHeight="1">
      <c r="B29" s="30" t="inlineStr">
        <is>
          <t>Assimilé salarié - cotisations patronales (taux moyen, dirigeant cadre)</t>
        </is>
      </c>
      <c r="C29" s="186" t="n">
        <v>0.42</v>
      </c>
      <c r="E29" s="142" t="inlineStr">
        <is>
          <t>Hors réduction Fillon (dirigeant non éligible). Variable selon T1/T2 et conventions.</t>
        </is>
      </c>
    </row>
    <row r="30" ht="30" customHeight="1">
      <c r="B30" s="30" t="inlineStr">
        <is>
          <t>Assimilé salarié - cotisations salariales hors CSG/CRDS</t>
        </is>
      </c>
      <c r="C30" s="186" t="n">
        <v>0.12</v>
      </c>
      <c r="E30" s="142" t="inlineStr">
        <is>
          <t>Retraite, prévoyance, AGIRC-ARRCO. Pas de cotisation chômage pour mandataires.</t>
        </is>
      </c>
    </row>
    <row r="31" ht="30" customHeight="1">
      <c r="B31" s="30" t="inlineStr">
        <is>
          <t>TNS - taux global de cotisations (sur rémunération nette)</t>
        </is>
      </c>
      <c r="C31" s="186" t="n">
        <v>0.45</v>
      </c>
      <c r="E31" s="142" t="inlineStr">
        <is>
          <t>URSSAF (maladie, AF, CSG/CRDS) + retraite (RCI/CIPAV) + invalidité-décès. Variable selon revenu.</t>
        </is>
      </c>
    </row>
    <row r="32" ht="30" customHeight="1">
      <c r="B32" s="30" t="inlineStr">
        <is>
          <t>Profession libérale BNC - taux global indicatif</t>
        </is>
      </c>
      <c r="C32" s="186" t="n">
        <v>0.45</v>
      </c>
      <c r="E32" s="142" t="inlineStr">
        <is>
          <t>URSSAF + caisse de retraite (CIPAV, CARMF, CARPV…). Variable selon profession.</t>
        </is>
      </c>
    </row>
    <row r="34" ht="21.75" customHeight="1">
      <c r="B34" s="133" t="inlineStr">
        <is>
          <t>5. FORFAIT SOCIAL (loi PACTE)</t>
        </is>
      </c>
    </row>
    <row r="35">
      <c r="B35" s="29" t="inlineStr">
        <is>
          <t>Dispositif × effectif</t>
        </is>
      </c>
      <c r="C35" s="29" t="inlineStr">
        <is>
          <t>Taux</t>
        </is>
      </c>
      <c r="E35" s="29" t="inlineStr">
        <is>
          <t>Source</t>
        </is>
      </c>
    </row>
    <row r="36">
      <c r="B36" s="33" t="inlineStr">
        <is>
          <t>Participation - &lt; 50 salariés</t>
        </is>
      </c>
      <c r="C36" s="186" t="n">
        <v>0</v>
      </c>
      <c r="E36" s="142" t="inlineStr">
        <is>
          <t>CSS art. L.137-15 - exonéré loi PACTE 2019</t>
        </is>
      </c>
    </row>
    <row r="37">
      <c r="B37" s="33" t="inlineStr">
        <is>
          <t>Participation - 50 à 249 salariés</t>
        </is>
      </c>
      <c r="C37" s="186" t="n">
        <v>0.2</v>
      </c>
      <c r="E37" s="142" t="inlineStr">
        <is>
          <t>CSS art. L.137-16 (taux normal, sauf accord conventionnel)</t>
        </is>
      </c>
    </row>
    <row r="38">
      <c r="B38" s="33" t="inlineStr">
        <is>
          <t>Participation - ≥ 250 salariés</t>
        </is>
      </c>
      <c r="C38" s="186" t="n">
        <v>0.2</v>
      </c>
      <c r="E38" s="142" t="inlineStr">
        <is>
          <t>CSS art. L.137-16</t>
        </is>
      </c>
    </row>
    <row r="39">
      <c r="B39" s="33" t="inlineStr">
        <is>
          <t>Intéressement - &lt; 250 salariés</t>
        </is>
      </c>
      <c r="C39" s="186" t="n">
        <v>0</v>
      </c>
      <c r="E39" s="142" t="inlineStr">
        <is>
          <t>CSS art. L.137-15 - exonéré loi PACTE 2019</t>
        </is>
      </c>
    </row>
    <row r="40">
      <c r="B40" s="33" t="inlineStr">
        <is>
          <t>Intéressement - ≥ 250 salariés</t>
        </is>
      </c>
      <c r="C40" s="186" t="n">
        <v>0.2</v>
      </c>
      <c r="E40" s="142" t="inlineStr">
        <is>
          <t>CSS art. L.137-16</t>
        </is>
      </c>
    </row>
    <row r="41">
      <c r="B41" s="33" t="inlineStr">
        <is>
          <t>Abondement employeur PEE/PERCO - &lt; 50 sal.</t>
        </is>
      </c>
      <c r="C41" s="186" t="n">
        <v>0</v>
      </c>
      <c r="E41" s="142" t="inlineStr">
        <is>
          <t>CSS art. L.137-15</t>
        </is>
      </c>
    </row>
    <row r="42">
      <c r="B42" s="33" t="inlineStr">
        <is>
          <t>Abondement employeur PEE/PERCO - ≥ 50 sal.</t>
        </is>
      </c>
      <c r="C42" s="186" t="n">
        <v>0.2</v>
      </c>
      <c r="E42" s="142" t="inlineStr">
        <is>
          <t>CSS art. L.137-16</t>
        </is>
      </c>
    </row>
    <row r="44" ht="21.75" customHeight="1">
      <c r="B44" s="133" t="inlineStr">
        <is>
          <t>6. PLAFONDS DES DISPOSITIFS</t>
        </is>
      </c>
    </row>
    <row r="45">
      <c r="B45" s="29" t="inlineStr">
        <is>
          <t>Dispositif</t>
        </is>
      </c>
      <c r="C45" s="29" t="inlineStr">
        <is>
          <t>Plafond / formule</t>
        </is>
      </c>
      <c r="E45" s="29" t="inlineStr">
        <is>
          <t>Source</t>
        </is>
      </c>
    </row>
    <row r="46" ht="30" customHeight="1">
      <c r="B46" s="30" t="inlineStr">
        <is>
          <t>Participation - plafond individuel (75 % PASS)</t>
        </is>
      </c>
      <c r="C46" s="185">
        <f>0.75*PASS_2025</f>
        <v/>
      </c>
      <c r="E46" s="142" t="inlineStr">
        <is>
          <t>C. trav. art. L.3324-5</t>
        </is>
      </c>
    </row>
    <row r="47" ht="30" customHeight="1">
      <c r="B47" s="30" t="inlineStr">
        <is>
          <t>Intéressement - plafond individuel (75 % PASS)</t>
        </is>
      </c>
      <c r="C47" s="185">
        <f>0.75*PASS_2025</f>
        <v/>
      </c>
      <c r="E47" s="142" t="inlineStr">
        <is>
          <t>C. trav. art. L.3314-8</t>
        </is>
      </c>
    </row>
    <row r="48" ht="30" customHeight="1">
      <c r="B48" s="30" t="inlineStr">
        <is>
          <t>Intéressement - enveloppe globale (% MS brute)</t>
        </is>
      </c>
      <c r="C48" s="186" t="n">
        <v>0.2</v>
      </c>
      <c r="E48" s="142" t="inlineStr">
        <is>
          <t>C. trav. art. L.3314-8 (20 % de la masse salariale brute)</t>
        </is>
      </c>
    </row>
    <row r="49" ht="30" customHeight="1">
      <c r="B49" s="30" t="inlineStr">
        <is>
          <t>Abondement PEE - plafond annuel (8 % PASS)</t>
        </is>
      </c>
      <c r="C49" s="185">
        <f>0.08*PASS_2025</f>
        <v/>
      </c>
      <c r="E49" s="142" t="inlineStr">
        <is>
          <t>C. trav. art. L.3332-11 - triplement contributions salarié</t>
        </is>
      </c>
    </row>
    <row r="50" ht="30" customHeight="1">
      <c r="B50" s="30" t="inlineStr">
        <is>
          <t>Abondement PER collectif - plafond annuel (16 % PASS)</t>
        </is>
      </c>
      <c r="C50" s="185">
        <f>0.16*PASS_2025</f>
        <v/>
      </c>
      <c r="E50" s="142" t="inlineStr">
        <is>
          <t>C. trav. art. L.3334-6</t>
        </is>
      </c>
    </row>
    <row r="51" ht="30" customHeight="1">
      <c r="B51" s="30" t="inlineStr">
        <is>
          <t>PER individuel - plafond déduction (10 % rev. pro., min. 10 % PASS, max 8 PASS)</t>
        </is>
      </c>
      <c r="C51" s="42" t="inlineStr">
        <is>
          <t>Voir module</t>
        </is>
      </c>
      <c r="E51" s="142" t="inlineStr">
        <is>
          <t>CGI art. 163 quatervicies</t>
        </is>
      </c>
    </row>
    <row r="52" ht="30" customHeight="1">
      <c r="B52" s="30" t="inlineStr">
        <is>
          <t>Avantage en nature véhicule - forfait (% valeur achat)</t>
        </is>
      </c>
      <c r="C52" s="186" t="n">
        <v>0.09</v>
      </c>
      <c r="E52" s="142" t="inlineStr">
        <is>
          <t>Arrêté du 25/12/2002 modifié - véhicule &lt; 5 ans achat</t>
        </is>
      </c>
    </row>
    <row r="53" ht="30" customHeight="1">
      <c r="B53" s="30" t="inlineStr">
        <is>
          <t>Tickets restaurant - exonération part employeur 2025 (€/titre, max 60 %)</t>
        </is>
      </c>
      <c r="C53" s="184" t="n">
        <v>7.26</v>
      </c>
      <c r="E53" s="142" t="inlineStr">
        <is>
          <t>BOI-RSA-CHAMP-20-30-10-10 - valeur 2025</t>
        </is>
      </c>
    </row>
    <row r="54" ht="30" customHeight="1">
      <c r="B54" s="30" t="inlineStr">
        <is>
          <t>CESU préfinancé - exonération annuelle (€/an/salarié)</t>
        </is>
      </c>
      <c r="C54" s="184" t="n">
        <v>2540</v>
      </c>
      <c r="E54" s="142" t="inlineStr">
        <is>
          <t>CSS art. L.7233-4 - Loi 2024 (relèvement)</t>
        </is>
      </c>
    </row>
    <row r="55" ht="30" customHeight="1">
      <c r="B55" s="30" t="inlineStr">
        <is>
          <t>Chèques cadeaux - tolérance URSSAF (% PMSS/événement)</t>
        </is>
      </c>
      <c r="C55" s="186" t="n">
        <v>0.05</v>
      </c>
      <c r="E55" s="142" t="inlineStr">
        <is>
          <t>Lettre-circ. ACOSS 2011-024 - 5 % PMSS par événement et bénéficiaire</t>
        </is>
      </c>
    </row>
    <row r="56" ht="30" customHeight="1">
      <c r="B56" s="30" t="inlineStr">
        <is>
          <t>Chèques vacances - exonération (≤30 % SMIC mensuel/an)</t>
        </is>
      </c>
      <c r="C56" s="186" t="n">
        <v>0.3</v>
      </c>
      <c r="E56" s="142" t="inlineStr">
        <is>
          <t>C. tour. art. L.411-1 et s.</t>
        </is>
      </c>
    </row>
    <row r="58" ht="21.75" customHeight="1">
      <c r="B58" s="133" t="inlineStr">
        <is>
          <t>7. FISCALITÉ DES DIVIDENDES &amp; REVENUS DU CAPITAL</t>
        </is>
      </c>
    </row>
    <row r="59">
      <c r="B59" s="29" t="inlineStr">
        <is>
          <t>Élément</t>
        </is>
      </c>
      <c r="C59" s="29" t="inlineStr">
        <is>
          <t>Taux / valeur</t>
        </is>
      </c>
      <c r="E59" s="29" t="inlineStr">
        <is>
          <t>Source</t>
        </is>
      </c>
    </row>
    <row r="60" ht="30" customHeight="1">
      <c r="B60" s="30" t="inlineStr">
        <is>
          <t>PFU - taux global 2026 (IR + PS)</t>
        </is>
      </c>
      <c r="C60" s="39" t="n">
        <v>0.314</v>
      </c>
      <c r="E60" s="142" t="inlineStr">
        <is>
          <t>LFSS 2026 - 12,8 % IR + 18,6 % PS (vs 30 % en 2025)</t>
        </is>
      </c>
    </row>
    <row r="61" ht="30" customHeight="1">
      <c r="B61" s="30" t="inlineStr">
        <is>
          <t>PFU - part IR forfaitaire</t>
        </is>
      </c>
      <c r="C61" s="39" t="n">
        <v>0.128</v>
      </c>
      <c r="E61" s="142" t="inlineStr">
        <is>
          <t>CGI art. 200 A - inchangé</t>
        </is>
      </c>
    </row>
    <row r="62" ht="30" customHeight="1">
      <c r="B62" s="30" t="inlineStr">
        <is>
          <t>Abattement dividendes - option barème IR</t>
        </is>
      </c>
      <c r="C62" s="39" t="n">
        <v>0.4</v>
      </c>
      <c r="E62" s="142" t="inlineStr">
        <is>
          <t>CGI art. 158, 3-2°</t>
        </is>
      </c>
    </row>
    <row r="63" ht="30" customHeight="1">
      <c r="B63" s="30" t="inlineStr">
        <is>
          <t>Seuil cotisations TNS sur dividendes (gérant maj. SARL/SELARL)</t>
        </is>
      </c>
      <c r="C63" s="39" t="n">
        <v>0.1</v>
      </c>
      <c r="E63" s="142" t="inlineStr">
        <is>
          <t>CSS art. L.131-6, 3° - &gt; 10 % capital + primes + CC associé</t>
        </is>
      </c>
    </row>
    <row r="65" ht="21.75" customHeight="1">
      <c r="B65" s="133" t="inlineStr">
        <is>
          <t>8. IMPÔT SUR LES SOCIÉTÉS</t>
        </is>
      </c>
    </row>
    <row r="66">
      <c r="B66" s="29" t="inlineStr">
        <is>
          <t>Tranche / régime</t>
        </is>
      </c>
      <c r="C66" s="29" t="inlineStr">
        <is>
          <t>Taux</t>
        </is>
      </c>
      <c r="E66" s="29" t="inlineStr">
        <is>
          <t>Source</t>
        </is>
      </c>
    </row>
    <row r="67" ht="30" customHeight="1">
      <c r="B67" s="30" t="inlineStr">
        <is>
          <t>IS - taux réduit PME (bénéfice ≤ 42 500 €)</t>
        </is>
      </c>
      <c r="C67" s="39" t="n">
        <v>0.15</v>
      </c>
      <c r="E67" s="142" t="inlineStr">
        <is>
          <t>CGI art. 219, I-b - PME (CA &lt; 10 M€, capital détenu ≥ 75 % personnes physiques)</t>
        </is>
      </c>
    </row>
    <row r="68" ht="30" customHeight="1">
      <c r="B68" s="30" t="inlineStr">
        <is>
          <t>IS - taux normal au-delà de 42 500 €</t>
        </is>
      </c>
      <c r="C68" s="39" t="n">
        <v>0.25</v>
      </c>
      <c r="E68" s="142" t="inlineStr">
        <is>
          <t>CGI art. 219, I</t>
        </is>
      </c>
    </row>
    <row r="69" ht="30" customHeight="1">
      <c r="B69" s="30" t="inlineStr">
        <is>
          <t>Plafond IS taux réduit (€)</t>
        </is>
      </c>
      <c r="C69" s="184" t="n">
        <v>42500</v>
      </c>
      <c r="E69" s="142" t="inlineStr">
        <is>
          <t>CGI art. 219, I-b</t>
        </is>
      </c>
    </row>
    <row r="72" ht="21.75" customHeight="1">
      <c r="B72" s="133" t="inlineStr">
        <is>
          <t>9. PLAFONNEMENT DU QUOTIENT FAMILIAL</t>
        </is>
      </c>
    </row>
    <row r="73">
      <c r="B73" s="29" t="inlineStr">
        <is>
          <t>Élément</t>
        </is>
      </c>
      <c r="C73" s="29" t="inlineStr">
        <is>
          <t>Valeur</t>
        </is>
      </c>
      <c r="E73" s="29" t="inlineStr">
        <is>
          <t>Source</t>
        </is>
      </c>
    </row>
    <row r="74">
      <c r="B74" s="30" t="inlineStr">
        <is>
          <t>Plafond 1 807 € par demi-part excédentaire (€)</t>
        </is>
      </c>
      <c r="C74" s="184" t="n">
        <v>1807</v>
      </c>
      <c r="E74" s="142" t="inlineStr">
        <is>
          <t>CGI art. 197, I-2° - LF 2026, indexation +0,9 % (vs 1 791 € en 2025). Cas général.</t>
        </is>
      </c>
    </row>
    <row r="75" ht="21.75" customHeight="1">
      <c r="B75" s="30" t="inlineStr">
        <is>
          <t>Parent isolé (case T) - 1ère personne à charge</t>
        </is>
      </c>
      <c r="C75" s="184" t="n">
        <v>4262</v>
      </c>
      <c r="E75" s="142" t="inlineStr">
        <is>
          <t>LF 2026 - BOI-IR-LIQ-20-20-20</t>
        </is>
      </c>
    </row>
    <row r="76" ht="21.75" customHeight="1">
      <c r="B76" s="30" t="inlineStr">
        <is>
          <t>Personne seule ayant élevé seule un enfant ≥ 5 ans (case L)</t>
        </is>
      </c>
      <c r="C76" s="184" t="n">
        <v>1079</v>
      </c>
      <c r="E76" s="142" t="inlineStr">
        <is>
          <t>LF 2026 - CGI art. 195</t>
        </is>
      </c>
    </row>
    <row r="77" ht="21.75" customHeight="1">
      <c r="B77" s="30" t="inlineStr">
        <is>
          <t>Veuf avec enfants à charge - plafond cumulé</t>
        </is>
      </c>
      <c r="C77" s="184" t="n">
        <v>5625</v>
      </c>
      <c r="E77" s="142" t="inlineStr">
        <is>
          <t>LF 2026 - CGI art. 197</t>
        </is>
      </c>
    </row>
    <row r="78" ht="21.75" customHeight="1">
      <c r="B78" s="30" t="inlineStr">
        <is>
          <t>Ancien combattant &gt; 74 ans ou invalide - demi-part suppl.</t>
        </is>
      </c>
      <c r="C78" s="184" t="n">
        <v>3608</v>
      </c>
      <c r="E78" s="142" t="inlineStr">
        <is>
          <t>LF 2026 - CGI art. 195</t>
        </is>
      </c>
    </row>
    <row r="81" ht="21.75" customHeight="1">
      <c r="B81" s="133" t="inlineStr">
        <is>
          <t>10. CONTRIBUTION EXCEPTIONNELLE HAUTS REVENUS (CEHR)</t>
        </is>
      </c>
    </row>
    <row r="82">
      <c r="B82" s="29" t="inlineStr">
        <is>
          <t>Élément</t>
        </is>
      </c>
      <c r="C82" s="29" t="inlineStr">
        <is>
          <t>Valeur</t>
        </is>
      </c>
      <c r="E82" s="29" t="inlineStr">
        <is>
          <t>Source</t>
        </is>
      </c>
    </row>
    <row r="83">
      <c r="B83" s="30" t="inlineStr">
        <is>
          <t>CEHR - taux tranche intermédiaire (%)</t>
        </is>
      </c>
      <c r="C83" s="186" t="n">
        <v>0.03</v>
      </c>
      <c r="E83" s="142" t="inlineStr">
        <is>
          <t>CGI art. 223 sexies</t>
        </is>
      </c>
    </row>
    <row r="84">
      <c r="B84" s="30" t="inlineStr">
        <is>
          <t>CEHR - taux tranche supérieure (%)</t>
        </is>
      </c>
      <c r="C84" s="186" t="n">
        <v>0.04</v>
      </c>
      <c r="E84" s="142" t="inlineStr">
        <is>
          <t>CGI art. 223 sexies</t>
        </is>
      </c>
    </row>
    <row r="85">
      <c r="B85" s="30" t="inlineStr">
        <is>
          <t>CEHR - seuil 1 célibataire/divorcé/veuf (€)</t>
        </is>
      </c>
      <c r="C85" s="184" t="n">
        <v>250000</v>
      </c>
      <c r="E85" s="142" t="inlineStr">
        <is>
          <t>CGI art. 223 sexies</t>
        </is>
      </c>
    </row>
    <row r="86">
      <c r="B86" s="30" t="inlineStr">
        <is>
          <t>CEHR - seuil 2 célibataire/divorcé/veuf (€)</t>
        </is>
      </c>
      <c r="C86" s="184" t="n">
        <v>500000</v>
      </c>
      <c r="E86" s="142" t="inlineStr">
        <is>
          <t>CGI art. 223 sexies</t>
        </is>
      </c>
    </row>
    <row r="87">
      <c r="B87" s="30" t="inlineStr">
        <is>
          <t>CEHR - seuil 1 marié/pacsé (€)</t>
        </is>
      </c>
      <c r="C87" s="184" t="n">
        <v>500000</v>
      </c>
      <c r="E87" s="142" t="inlineStr">
        <is>
          <t>CGI art. 223 sexies</t>
        </is>
      </c>
    </row>
    <row r="88">
      <c r="B88" s="30" t="inlineStr">
        <is>
          <t>CEHR - seuil 2 marié/pacsé (€)</t>
        </is>
      </c>
      <c r="C88" s="184" t="n">
        <v>1000000</v>
      </c>
      <c r="E88" s="142" t="inlineStr">
        <is>
          <t>CGI art. 223 sexies</t>
        </is>
      </c>
    </row>
    <row r="90" ht="21.75" customHeight="1">
      <c r="B90" s="133" t="inlineStr">
        <is>
          <t>11. CONTRIBUTION DIFFÉRENTIELLE HAUTS REVENUS (CDHR) - nouveauté 2026</t>
        </is>
      </c>
    </row>
    <row r="91">
      <c r="B91" s="29" t="inlineStr">
        <is>
          <t>Élément</t>
        </is>
      </c>
      <c r="C91" s="29" t="inlineStr">
        <is>
          <t>Valeur</t>
        </is>
      </c>
      <c r="E91" s="29" t="inlineStr">
        <is>
          <t>Source</t>
        </is>
      </c>
    </row>
    <row r="92">
      <c r="B92" s="30" t="inlineStr">
        <is>
          <t>CDHR - taux plancher d'imposition (% RFR)</t>
        </is>
      </c>
      <c r="C92" s="186" t="n">
        <v>0.2</v>
      </c>
      <c r="E92" s="142" t="inlineStr">
        <is>
          <t>CGI art. 224 - LF 2025 art. 10, pérennisée LF 2026 art. 2</t>
        </is>
      </c>
    </row>
    <row r="93">
      <c r="B93" s="30" t="inlineStr">
        <is>
          <t>CDHR - seuil RFR célibataire/divorcé/veuf (€)</t>
        </is>
      </c>
      <c r="C93" s="184" t="n">
        <v>250000</v>
      </c>
      <c r="E93" s="142" t="inlineStr">
        <is>
          <t>CGI art. 224</t>
        </is>
      </c>
    </row>
    <row r="94">
      <c r="B94" s="30" t="inlineStr">
        <is>
          <t>CDHR - seuil RFR marié/pacsé (€)</t>
        </is>
      </c>
      <c r="C94" s="184" t="n">
        <v>500000</v>
      </c>
      <c r="E94" s="142" t="inlineStr">
        <is>
          <t>CGI art. 224</t>
        </is>
      </c>
    </row>
    <row r="95">
      <c r="B95" s="30" t="inlineStr">
        <is>
          <t>CDHR - seuil HAUT lissage célibataire (€)</t>
        </is>
      </c>
      <c r="C95" s="184" t="n">
        <v>330000</v>
      </c>
      <c r="E95" s="142" t="inlineStr">
        <is>
          <t>Zone de transition 250-330 k€</t>
        </is>
      </c>
    </row>
    <row r="96">
      <c r="B96" s="30" t="inlineStr">
        <is>
          <t>CDHR - seuil HAUT lissage marié/pacsé (€)</t>
        </is>
      </c>
      <c r="C96" s="184" t="n">
        <v>660000</v>
      </c>
      <c r="E96" s="142" t="inlineStr">
        <is>
          <t>Zone de transition 500-660 k€</t>
        </is>
      </c>
    </row>
    <row r="97" ht="36" customHeight="1">
      <c r="B97" s="142" t="inlineStr">
        <is>
          <t>✓ Lissage modélisé (v13) - décote linéaire dans la zone de transition (250-330k célib / 500-660k marié). Limites restantes : pas de retraitement des revenus exceptionnels au 1/4 ; RFR approximé par le revenu net imposable. À affiner par l'expert-comptable pour les déclarations effectives.</t>
        </is>
      </c>
    </row>
    <row r="99" ht="21.75" customHeight="1">
      <c r="B99" s="133" t="inlineStr">
        <is>
          <t>12. HYPOTHÈSES PROJECTION 5 ANS (capitalisation épargne salariale &amp; PER)</t>
        </is>
      </c>
    </row>
    <row r="100">
      <c r="B100" s="29" t="inlineStr">
        <is>
          <t>Élément</t>
        </is>
      </c>
      <c r="C100" s="29" t="inlineStr">
        <is>
          <t>Valeur</t>
        </is>
      </c>
      <c r="E100" s="29" t="inlineStr">
        <is>
          <t>Hypothèse / source</t>
        </is>
      </c>
    </row>
    <row r="101">
      <c r="B101" s="30" t="inlineStr">
        <is>
          <t>Rendement annuel moyen - PEE / PER (%)</t>
        </is>
      </c>
      <c r="C101" s="186" t="n">
        <v>0.04</v>
      </c>
      <c r="E101" s="142" t="inlineStr">
        <is>
          <t>Hypothèse cabinet (typ. 3-5 % nets de frais sur fonds diversifiés).</t>
        </is>
      </c>
    </row>
    <row r="102">
      <c r="B102" s="30" t="inlineStr">
        <is>
          <t>Rendement annuel moyen - Cash dirigeant (%)</t>
        </is>
      </c>
      <c r="C102" s="186" t="n">
        <v>0.02</v>
      </c>
      <c r="E102" s="142" t="inlineStr">
        <is>
          <t>Livret A 3 %, fonds euros 2,5 % - placement de défaisance prudent.</t>
        </is>
      </c>
    </row>
    <row r="103">
      <c r="B103" s="30" t="inlineStr">
        <is>
          <t>Horizon de projection (années)</t>
        </is>
      </c>
      <c r="C103" s="43" t="n">
        <v>5</v>
      </c>
      <c r="E103" s="142" t="inlineStr">
        <is>
          <t>5 ans = horizon court terme, hors fiscalité de sortie PER.</t>
        </is>
      </c>
    </row>
    <row r="105" ht="21.75" customHeight="1">
      <c r="B105" s="133" t="inlineStr">
        <is>
          <t>13. COEFFICIENTS DE RISQUE PAR DISPOSITIF (scoring pondéré)</t>
        </is>
      </c>
    </row>
    <row r="106">
      <c r="B106" s="29" t="inlineStr">
        <is>
          <t>Dispositif</t>
        </is>
      </c>
      <c r="C106" s="29" t="inlineStr">
        <is>
          <t>Coefficient</t>
        </is>
      </c>
      <c r="E106" s="29" t="inlineStr">
        <is>
          <t>Justification éditoriale</t>
        </is>
      </c>
    </row>
    <row r="107">
      <c r="B107" s="30" t="inlineStr">
        <is>
          <t>Salaire / rémunération directe</t>
        </is>
      </c>
      <c r="C107" s="44" t="n">
        <v>1</v>
      </c>
      <c r="E107" s="142" t="inlineStr">
        <is>
          <t>Référence - sécurité juridique maximale.</t>
        </is>
      </c>
    </row>
    <row r="108">
      <c r="B108" s="30" t="inlineStr">
        <is>
          <t>Dividendes (PFU)</t>
        </is>
      </c>
      <c r="C108" s="44" t="n">
        <v>0.95</v>
      </c>
      <c r="E108" s="142" t="inlineStr">
        <is>
          <t>Hors cas TNS gérant maj. &gt; 10 % capital.</t>
        </is>
      </c>
    </row>
    <row r="109">
      <c r="B109" s="30" t="inlineStr">
        <is>
          <t>Participation</t>
        </is>
      </c>
      <c r="C109" s="44" t="n">
        <v>1</v>
      </c>
      <c r="E109" s="142" t="inlineStr">
        <is>
          <t>Cadre légal stable (loi PACTE).</t>
        </is>
      </c>
    </row>
    <row r="110">
      <c r="B110" s="30" t="inlineStr">
        <is>
          <t>Intéressement</t>
        </is>
      </c>
      <c r="C110" s="44" t="n">
        <v>1</v>
      </c>
      <c r="E110" s="142" t="inlineStr">
        <is>
          <t>Idem.</t>
        </is>
      </c>
    </row>
    <row r="111">
      <c r="B111" s="30" t="inlineStr">
        <is>
          <t>Abondement PEE</t>
        </is>
      </c>
      <c r="C111" s="44" t="n">
        <v>1</v>
      </c>
      <c r="E111" s="142" t="inlineStr">
        <is>
          <t>Idem.</t>
        </is>
      </c>
    </row>
    <row r="112">
      <c r="B112" s="30" t="inlineStr">
        <is>
          <t>Abondement PER collectif</t>
        </is>
      </c>
      <c r="C112" s="44" t="n">
        <v>1</v>
      </c>
      <c r="E112" s="142" t="inlineStr">
        <is>
          <t>Idem.</t>
        </is>
      </c>
    </row>
    <row r="113">
      <c r="B113" s="30" t="inlineStr">
        <is>
          <t>PER individuel</t>
        </is>
      </c>
      <c r="C113" s="44" t="n">
        <v>0.95</v>
      </c>
      <c r="E113" s="142" t="inlineStr">
        <is>
          <t>Fiscalité de sortie (rente/capital) à anticiper.</t>
        </is>
      </c>
    </row>
    <row r="114">
      <c r="B114" s="30" t="inlineStr">
        <is>
          <t>Avantages en nature (véhicule, NTIC...)</t>
        </is>
      </c>
      <c r="C114" s="44" t="n">
        <v>0.9</v>
      </c>
      <c r="E114" s="142" t="inlineStr">
        <is>
          <t>Évaluation forfait vs réel - risque de redressement si imprécis.</t>
        </is>
      </c>
    </row>
    <row r="115">
      <c r="B115" s="30" t="inlineStr">
        <is>
          <t>Tickets restaurant</t>
        </is>
      </c>
      <c r="C115" s="44" t="n">
        <v>1</v>
      </c>
      <c r="E115" s="142" t="inlineStr">
        <is>
          <t>Plafond 7,26 €/titre, 60 % max.</t>
        </is>
      </c>
    </row>
    <row r="116">
      <c r="B116" s="30" t="inlineStr">
        <is>
          <t>CESU préfinancé</t>
        </is>
      </c>
      <c r="C116" s="44" t="n">
        <v>1</v>
      </c>
      <c r="E116" s="142" t="inlineStr">
        <is>
          <t>Plafond 2 540 €/an.</t>
        </is>
      </c>
    </row>
    <row r="117">
      <c r="B117" s="30" t="inlineStr">
        <is>
          <t>Chèques cadeaux &amp; vacances</t>
        </is>
      </c>
      <c r="C117" s="44" t="n">
        <v>0.85</v>
      </c>
      <c r="E117" s="142" t="inlineStr">
        <is>
          <t>Tolérance URSSAF - non opposable de droit.</t>
        </is>
      </c>
    </row>
    <row r="118">
      <c r="B118" s="30" t="inlineStr">
        <is>
          <t>Mutuelle / prévoyance</t>
        </is>
      </c>
      <c r="C118" s="44" t="n">
        <v>1</v>
      </c>
      <c r="E118" s="142" t="inlineStr">
        <is>
          <t>Contrat collectif obligatoire.</t>
        </is>
      </c>
    </row>
    <row r="119">
      <c r="B119" s="30" t="inlineStr">
        <is>
          <t>Indemnités kilométriques</t>
        </is>
      </c>
      <c r="C119" s="44" t="n">
        <v>0.85</v>
      </c>
      <c r="E119" s="142" t="inlineStr">
        <is>
          <t>Justification + barème fiscal.</t>
        </is>
      </c>
    </row>
    <row r="120">
      <c r="B120" s="45" t="inlineStr">
        <is>
          <t>💸 Cashback - déploiement Conforme</t>
        </is>
      </c>
      <c r="C120" s="46" t="n">
        <v>0.85</v>
      </c>
      <c r="E120" s="47" t="inlineStr">
        <is>
          <t>Souscription nominative hors lien employeur, montants prudents, doc formalisée.</t>
        </is>
      </c>
    </row>
    <row r="121">
      <c r="B121" s="45" t="inlineStr">
        <is>
          <t>💸 Cashback - déploiement Standard</t>
        </is>
      </c>
      <c r="C121" s="46" t="n">
        <v>0.55</v>
      </c>
      <c r="E121" s="47" t="inlineStr">
        <is>
          <t>Sans structuration spécifique : risque de requalification URSSAF.</t>
        </is>
      </c>
    </row>
    <row r="123">
      <c r="B123" s="48" t="inlineStr">
        <is>
          <t>Notes :</t>
        </is>
      </c>
    </row>
    <row r="124" ht="19.5" customHeight="1">
      <c r="B124" s="142" t="inlineStr">
        <is>
          <t>• Les taux de cotisations (sections 4) sont des moyennes indicatives - l'expert-comptable ajuste selon le bulletin de paie réel ou la déclaration sociale.</t>
        </is>
      </c>
    </row>
    <row r="125" ht="19.5" customHeight="1">
      <c r="B125" s="142" t="inlineStr">
        <is>
          <t>• Pour les TNS : les cotisations sont assises sur le revenu net (boucle d'auto-cotisation) ; le taux 45 % est exprimé sur la base du net déclaré, soit ≈31 % du « brut » conventionnel.</t>
        </is>
      </c>
    </row>
    <row r="126" ht="19.5" customHeight="1">
      <c r="B126" s="142" t="inlineStr">
        <is>
          <t>• Pour les libéraux : les caisses de retraite varient (CIPAV, CARMF, CNBF, CARPV, CARCDSF, CARPIMKO…) - adapter le taux dans cette feuille selon la profession.</t>
        </is>
      </c>
    </row>
    <row r="127" ht="19.5" customHeight="1">
      <c r="B127" s="142" t="inlineStr">
        <is>
          <t>• Plafonnement QF : modélisation cas général uniquement (parts_de_base = 1 célibataire / 2 marié-pacsé). Cas spéciaux (parent isolé, invalidité, ancien combattant) non modélisés.</t>
        </is>
      </c>
    </row>
    <row r="128" ht="19.5" customHeight="1">
      <c r="B128" s="142" t="inlineStr">
        <is>
          <t>• CEHR : assise sur le revenu fiscal de référence approximé par le revenu net imposable du foyer - précision suffisante pour cadrage stratégique, à affiner sur déclaration 2042.</t>
        </is>
      </c>
    </row>
    <row r="129" ht="19.5" customHeight="1">
      <c r="B129" s="142" t="inlineStr">
        <is>
          <t>• CDHR (nouveauté 2026) : modélisation simplifiée sans lissage 250-330k (célib) / 500-660k (marié) ni retraitement des revenus exceptionnels au 1/4. Pour un chiffrage déclaratif final, utiliser le simulateur dédié impots.gouv.fr.</t>
        </is>
      </c>
    </row>
    <row r="130" ht="19.5" customHeight="1">
      <c r="B130" s="142" t="inlineStr">
        <is>
          <t>• PFU 2026 : 31,4 % global pour dividendes/plus-values mobilières. Le taux 30 % est maintenu pour l'assurance-vie, les revenus fonciers et les plus-values immobilières (régimes hors scope outil).</t>
        </is>
      </c>
    </row>
    <row r="131" ht="19.5" customHeight="1">
      <c r="B131" s="142" t="inlineStr">
        <is>
          <t>• Coefficients de risque (section 11) : éditoriaux et paramétrables. Le cabinet peut ajuster selon sa propre doctrine.</t>
        </is>
      </c>
    </row>
    <row r="132" ht="19.5" customHeight="1">
      <c r="B132" s="142" t="inlineStr">
        <is>
          <t>• Les paramètres 2026 ne sont pas encore tous publiés - mettre à jour cette feuille dès parution du PLFSS et de la LF.</t>
        </is>
      </c>
    </row>
    <row r="135" ht="15" customHeight="1">
      <c r="A135" s="134" t="inlineStr">
        <is>
          <t>Outil indicatif à usage professionnel - ne se substitue pas à un conseil personnalisé. Paramètres fiscaux à mettre à jour annuellement (cf. feuille « 13. Sources »).</t>
        </is>
      </c>
    </row>
  </sheetData>
  <mergeCells count="27">
    <mergeCell ref="B9:E9"/>
    <mergeCell ref="B65:E65"/>
    <mergeCell ref="B127:E127"/>
    <mergeCell ref="E11:E15"/>
    <mergeCell ref="B124:E124"/>
    <mergeCell ref="B4:E4"/>
    <mergeCell ref="B126:E126"/>
    <mergeCell ref="B97:E97"/>
    <mergeCell ref="B129:E129"/>
    <mergeCell ref="B72:E72"/>
    <mergeCell ref="B90:E90"/>
    <mergeCell ref="B81:E81"/>
    <mergeCell ref="B125:E125"/>
    <mergeCell ref="B131:E131"/>
    <mergeCell ref="B27:E27"/>
    <mergeCell ref="A1:G1"/>
    <mergeCell ref="B105:E105"/>
    <mergeCell ref="B58:E58"/>
    <mergeCell ref="B130:E130"/>
    <mergeCell ref="A135:H135"/>
    <mergeCell ref="B17:E17"/>
    <mergeCell ref="B132:E132"/>
    <mergeCell ref="B44:E44"/>
    <mergeCell ref="A2:G2"/>
    <mergeCell ref="B34:E34"/>
    <mergeCell ref="B128:E128"/>
    <mergeCell ref="B99:E99"/>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ED7D31"/>
    <outlinePr summaryBelow="1" summaryRight="1"/>
    <pageSetUpPr/>
  </sheetPr>
  <dimension ref="A1:H77"/>
  <sheetViews>
    <sheetView showGridLines="0" tabSelected="1" zoomScaleNormal="100" workbookViewId="0">
      <pane ySplit="3" topLeftCell="A4" activePane="bottomLeft" state="frozen"/>
      <selection pane="bottomLeft" activeCell="C12" sqref="C12"/>
    </sheetView>
  </sheetViews>
  <sheetFormatPr baseColWidth="10" defaultColWidth="8.6640625" defaultRowHeight="14.25"/>
  <cols>
    <col width="4" customWidth="1" min="1" max="1"/>
    <col width="42" customWidth="1" min="2" max="2"/>
    <col width="28" customWidth="1" min="3" max="3"/>
    <col width="4" customWidth="1" min="4" max="4"/>
    <col width="56.46484375" customWidth="1" min="5" max="5"/>
    <col width="4" customWidth="1" min="6" max="6"/>
  </cols>
  <sheetData>
    <row r="1" ht="31.5" customHeight="1">
      <c r="A1" s="135" t="inlineStr">
        <is>
          <t>4.  Profil client</t>
        </is>
      </c>
      <c r="H1" s="9" t="inlineStr">
        <is>
          <t>↩ Retour sommaire</t>
        </is>
      </c>
    </row>
    <row r="2" ht="19.5" customHeight="1">
      <c r="A2" s="136" t="inlineStr">
        <is>
          <t>Saisir le profil du dirigeant / client. Les cellules bleues sont à compléter.</t>
        </is>
      </c>
    </row>
    <row r="4" ht="21.75" customHeight="1">
      <c r="B4" s="133" t="inlineStr">
        <is>
          <t>1. IDENTITÉ DU CLIENT</t>
        </is>
      </c>
    </row>
    <row r="5">
      <c r="B5" s="33" t="inlineStr">
        <is>
          <t>Nom du client / dénomination sociale</t>
        </is>
      </c>
      <c r="C5" s="153" t="inlineStr">
        <is>
          <t>[À renseigner]</t>
        </is>
      </c>
      <c r="E5" s="154" t="n"/>
    </row>
    <row r="6">
      <c r="B6" s="33" t="inlineStr">
        <is>
          <t>Référence dossier</t>
        </is>
      </c>
      <c r="C6" s="153" t="inlineStr">
        <is>
          <t>[Réf. cabinet]</t>
        </is>
      </c>
      <c r="E6" s="154" t="n"/>
    </row>
    <row r="7">
      <c r="B7" s="33" t="inlineStr">
        <is>
          <t>Date de la simulation</t>
        </is>
      </c>
      <c r="C7" s="50">
        <f>TODAY()</f>
        <v/>
      </c>
      <c r="E7" s="154" t="n"/>
    </row>
    <row r="8">
      <c r="B8" s="33" t="inlineStr">
        <is>
          <t>Expert-comptable en charge</t>
        </is>
      </c>
      <c r="C8" s="153" t="inlineStr">
        <is>
          <t>[Nom collaborateur]</t>
        </is>
      </c>
      <c r="E8" s="154" t="n"/>
    </row>
    <row r="9">
      <c r="B9" s="33" t="inlineStr">
        <is>
          <t>Cabinet</t>
        </is>
      </c>
      <c r="C9" s="153" t="inlineStr">
        <is>
          <t>[Nom du cabinet]</t>
        </is>
      </c>
      <c r="E9" s="154" t="n"/>
    </row>
    <row r="11" ht="21.75" customHeight="1">
      <c r="B11" s="133" t="inlineStr">
        <is>
          <t>2. STRUCTURE &amp; RÉGIME SOCIAL</t>
        </is>
      </c>
    </row>
    <row r="12">
      <c r="B12" s="33" t="inlineStr">
        <is>
          <t>Forme juridique</t>
        </is>
      </c>
      <c r="C12" s="153" t="inlineStr">
        <is>
          <t>SAS / SASU</t>
        </is>
      </c>
      <c r="E12" s="142" t="inlineStr">
        <is>
          <t>Liste déroulante. Choisir la forme du client.</t>
        </is>
      </c>
    </row>
    <row r="13">
      <c r="B13" s="33" t="inlineStr">
        <is>
          <t>Régime social applicable</t>
        </is>
      </c>
      <c r="C13" s="51">
        <f>IF(C12="SAS / SASU","Assimilé salarié",IF(C12="SARL (gérance minoritaire)","Assimilé salarié",IF(C12="SARL (gérance majoritaire)","TNS",IF(C12="EURL (gérant associé unique)","TNS",IF(C12="EI (entrepreneur individuel)","TNS",IF(C12="EI à l'IS","TNS",IF(C12="SELARL","TNS (libéral)",IF(C12="SELAS","Assimilé salarié (libéral)",IF(C12="SCP","TNS (libéral)",IF(C12="Salarié (sans structure)","Salarié","À préciser"))))))))))</f>
        <v/>
      </c>
      <c r="E13" s="142" t="inlineStr">
        <is>
          <t>Déduit automatiquement de la forme juridique.</t>
        </is>
      </c>
    </row>
    <row r="14" ht="31.5" customHeight="1">
      <c r="B14" s="33" t="inlineStr">
        <is>
          <t>Effectif de l'entreprise</t>
        </is>
      </c>
      <c r="C14" s="153" t="inlineStr">
        <is>
          <t>11-49 salariés</t>
        </is>
      </c>
      <c r="E14" s="142" t="inlineStr">
        <is>
          <t>Seuils légaux : 11 (mutuelle obli.), 50 (participation obli., forfait social), 250 (forfait intéressement). Cf. feuille « 4. Paramètres » §5.</t>
        </is>
      </c>
    </row>
    <row r="15" ht="23.25" customHeight="1">
      <c r="B15" s="33" t="inlineStr">
        <is>
          <t>Part de capital détenue par le dirigeant (pour TNS)</t>
        </is>
      </c>
      <c r="C15" s="187" t="n">
        <v>0.5</v>
      </c>
      <c r="E15" s="142" t="inlineStr">
        <is>
          <t>Pour TNS : la fraction des dividendes excédant 10 % du (capital social + primes + CC associé) est soumise à cotisations TNS.</t>
        </is>
      </c>
    </row>
    <row r="16" ht="36" customHeight="1">
      <c r="B16" s="33" t="inlineStr">
        <is>
          <t>Capital social + primes + CCA (€) [TNS uniquement]</t>
        </is>
      </c>
      <c r="C16" s="188" t="n">
        <v>10000</v>
      </c>
      <c r="E16" s="142" t="inlineStr">
        <is>
          <t>Base de calcul du seuil 10 %. Au-delà, la fraction de dividendes est requalifiée en rémunération TNS (cotisations ~45 % + IR au barème) au lieu du PFU. Ignoré pour assimilé salarié / salarié. CGI art. L. 131-6 al. 8 CSS, jurisprudence Cass. soc. 2018.</t>
        </is>
      </c>
    </row>
    <row r="18" ht="21.75" customHeight="1">
      <c r="B18" s="133" t="inlineStr">
        <is>
          <t>3. FOYER FISCAL</t>
        </is>
      </c>
    </row>
    <row r="19">
      <c r="B19" s="33" t="inlineStr">
        <is>
          <t>Situation familiale</t>
        </is>
      </c>
      <c r="C19" s="153" t="inlineStr">
        <is>
          <t>Marié / pacsé</t>
        </is>
      </c>
    </row>
    <row r="20" ht="23.25" customHeight="1">
      <c r="B20" s="33" t="inlineStr">
        <is>
          <t>Nombre de parts fiscales</t>
        </is>
      </c>
      <c r="C20" s="54" t="n">
        <v>2</v>
      </c>
      <c r="E20" s="142" t="inlineStr">
        <is>
          <t>1 / 2 / 2,5 / 3… selon situation et nombre d'enfants. Plafonnement quotient familial : 1 807 €/demi-part (2026).</t>
        </is>
      </c>
    </row>
    <row r="21" ht="23.25" customHeight="1">
      <c r="B21" s="33" t="inlineStr">
        <is>
          <t>Autres revenus imposables du foyer (€/an)</t>
        </is>
      </c>
      <c r="C21" s="188" t="n">
        <v>0</v>
      </c>
      <c r="E21" s="142" t="inlineStr">
        <is>
          <t>Salaires conjoint, revenus fonciers, BIC/BNC tiers… au barème. Pour le TMI marginal réel.</t>
        </is>
      </c>
    </row>
    <row r="22" ht="31.5" customHeight="1">
      <c r="B22" s="33" t="inlineStr">
        <is>
          <t>Dividendes bruts perçus par le foyer (€/an)</t>
        </is>
      </c>
      <c r="C22" s="188" t="n">
        <v>0</v>
      </c>
      <c r="E22" s="142" t="inlineStr">
        <is>
          <t>Distributions effectives au foyer (hors enveloppe arbitrage). Entrent dans le RFR au PFU pour activer correctement la CDHR.</t>
        </is>
      </c>
    </row>
    <row r="23" ht="36" customHeight="1">
      <c r="B23" s="33" t="inlineStr">
        <is>
          <t>Situation particulière (plafond QF spécifique)</t>
        </is>
      </c>
      <c r="C23" s="153" t="inlineStr">
        <is>
          <t>Aucune (cas général)</t>
        </is>
      </c>
      <c r="E23" s="142" t="inlineStr">
        <is>
          <t>Sélectionner si applicable : ajuste le plafond du QF (cf. Paramètres §9). Parent isolé : 4 262 € sur 1ère personne à charge. Veuf : plafond cumulé 5 625 €. Invalide : 3 608 €.</t>
        </is>
      </c>
    </row>
    <row r="25" ht="21.75" customHeight="1">
      <c r="B25" s="133" t="inlineStr">
        <is>
          <t>4. ENVELOPPE À ARBITRER</t>
        </is>
      </c>
    </row>
    <row r="26">
      <c r="B26" s="33" t="inlineStr">
        <is>
          <t>Mode de pilotage</t>
        </is>
      </c>
      <c r="C26" s="153" t="inlineStr">
        <is>
          <t>Coût employeur global</t>
        </is>
      </c>
    </row>
    <row r="27" ht="23.25" customHeight="1">
      <c r="B27" s="33" t="inlineStr">
        <is>
          <t>Enveloppe (€/an)</t>
        </is>
      </c>
      <c r="C27" s="188" t="n">
        <v>120000</v>
      </c>
      <c r="E27" s="142" t="inlineStr">
        <is>
          <t>Coût total annuel pour la société (charges incluses), ou cible nette dirigeant selon mode.</t>
        </is>
      </c>
    </row>
    <row r="28" ht="23.25" customHeight="1">
      <c r="B28" s="33" t="inlineStr">
        <is>
          <t>Bénéfice IS de la société (€/an)</t>
        </is>
      </c>
      <c r="C28" s="188" t="n">
        <v>200000</v>
      </c>
      <c r="E28" s="142" t="inlineStr">
        <is>
          <t>Bénéfice avant rémunération du dirigeant. Sert au calcul des dividendes distribuables après IS.</t>
        </is>
      </c>
    </row>
    <row r="30" ht="21.75" customHeight="1">
      <c r="B30" s="133" t="inlineStr">
        <is>
          <t>5. ACTIVATION DES DISPOSITIFS</t>
        </is>
      </c>
    </row>
    <row r="31">
      <c r="B31" s="33" t="inlineStr">
        <is>
          <t>Participation</t>
        </is>
      </c>
      <c r="C31" s="153" t="inlineStr">
        <is>
          <t>Oui</t>
        </is>
      </c>
      <c r="E31" s="142" t="inlineStr">
        <is>
          <t>Versement en N+1 sur résultat ; PEE/PERECO.</t>
        </is>
      </c>
    </row>
    <row r="32">
      <c r="B32" s="33" t="inlineStr">
        <is>
          <t>Intéressement</t>
        </is>
      </c>
      <c r="C32" s="153" t="inlineStr">
        <is>
          <t>Oui</t>
        </is>
      </c>
      <c r="E32" s="142" t="inlineStr">
        <is>
          <t>Accord pluriannuel ; aléatoire et collectif.</t>
        </is>
      </c>
    </row>
    <row r="33">
      <c r="B33" s="33" t="inlineStr">
        <is>
          <t>Abondement employeur PEE</t>
        </is>
      </c>
      <c r="C33" s="153" t="inlineStr">
        <is>
          <t>Oui</t>
        </is>
      </c>
      <c r="E33" s="142" t="inlineStr">
        <is>
          <t>Versement complémentaire aux dépôts du salarié.</t>
        </is>
      </c>
    </row>
    <row r="34">
      <c r="B34" s="33" t="inlineStr">
        <is>
          <t>Abondement employeur PER collectif (PERECO)</t>
        </is>
      </c>
      <c r="C34" s="153" t="inlineStr">
        <is>
          <t>Oui</t>
        </is>
      </c>
      <c r="E34" s="142" t="inlineStr">
        <is>
          <t>Idem, plafond 16 % PASS.</t>
        </is>
      </c>
    </row>
    <row r="35">
      <c r="B35" s="33" t="inlineStr">
        <is>
          <t>PER individuel (PERIN)</t>
        </is>
      </c>
      <c r="C35" s="153" t="inlineStr">
        <is>
          <t>Oui</t>
        </is>
      </c>
      <c r="E35" s="142" t="inlineStr">
        <is>
          <t>Versements déductibles du revenu imposable.</t>
        </is>
      </c>
    </row>
    <row r="36">
      <c r="B36" s="33" t="inlineStr">
        <is>
          <t>Avantages en nature (véhicule, logement, NTIC)</t>
        </is>
      </c>
      <c r="C36" s="153" t="inlineStr">
        <is>
          <t>Oui</t>
        </is>
      </c>
      <c r="E36" s="142" t="inlineStr">
        <is>
          <t>Forfait ou réel - cf. arrêté 25/12/2002.</t>
        </is>
      </c>
    </row>
    <row r="37">
      <c r="B37" s="33" t="inlineStr">
        <is>
          <t>Tickets restaurant</t>
        </is>
      </c>
      <c r="C37" s="153" t="inlineStr">
        <is>
          <t>Oui</t>
        </is>
      </c>
      <c r="E37" s="142" t="inlineStr">
        <is>
          <t>Exonération part employeur 7,26 €/titre (60 % max).</t>
        </is>
      </c>
    </row>
    <row r="38">
      <c r="B38" s="33" t="inlineStr">
        <is>
          <t>CESU préfinancé</t>
        </is>
      </c>
      <c r="C38" s="153" t="inlineStr">
        <is>
          <t>Oui</t>
        </is>
      </c>
      <c r="E38" s="142" t="inlineStr">
        <is>
          <t>Exonéré jusqu'à 2 540 €/an/salarié.</t>
        </is>
      </c>
    </row>
    <row r="39">
      <c r="B39" s="33" t="inlineStr">
        <is>
          <t>Chèques cadeaux &amp; vacances</t>
        </is>
      </c>
      <c r="C39" s="153" t="inlineStr">
        <is>
          <t>Oui</t>
        </is>
      </c>
      <c r="E39" s="142" t="inlineStr">
        <is>
          <t>Tolérance URSSAF &amp; exo chèques vacances.</t>
        </is>
      </c>
    </row>
    <row r="40">
      <c r="B40" s="33" t="inlineStr">
        <is>
          <t>Mutuelle / prévoyance employeur</t>
        </is>
      </c>
      <c r="C40" s="153" t="inlineStr">
        <is>
          <t>Oui</t>
        </is>
      </c>
      <c r="E40" s="142" t="inlineStr">
        <is>
          <t>Contrat collectif obligatoire - déductible société.</t>
        </is>
      </c>
    </row>
    <row r="41">
      <c r="B41" s="33" t="inlineStr">
        <is>
          <t>Indemnités kilométriques</t>
        </is>
      </c>
      <c r="C41" s="153" t="inlineStr">
        <is>
          <t>Non</t>
        </is>
      </c>
      <c r="E41" s="142" t="inlineStr">
        <is>
          <t>Sur la base du barème fiscal ou réelle.</t>
        </is>
      </c>
    </row>
    <row r="42">
      <c r="B42" s="55" t="inlineStr">
        <is>
          <t>💸 Cashback (programme partenaire)</t>
        </is>
      </c>
      <c r="C42" s="56" t="inlineStr">
        <is>
          <t>Non</t>
        </is>
      </c>
      <c r="E42" s="47" t="inlineStr">
        <is>
          <t>🔴 Niveau de risque optimisé. Cf. note technique en feuille « 13. Sources ».</t>
        </is>
      </c>
    </row>
    <row r="44" ht="21.75" customHeight="1">
      <c r="B44" s="133" t="inlineStr">
        <is>
          <t>6. MONTANTS DES DISPOSITIFS (€/an, par bénéficiaire)</t>
        </is>
      </c>
    </row>
    <row r="45">
      <c r="B45" s="33" t="inlineStr">
        <is>
          <t>Participation versée</t>
        </is>
      </c>
      <c r="C45" s="188" t="n">
        <v>1500</v>
      </c>
    </row>
    <row r="46">
      <c r="B46" s="33" t="inlineStr">
        <is>
          <t>Intéressement versé</t>
        </is>
      </c>
      <c r="C46" s="188" t="n">
        <v>2500</v>
      </c>
    </row>
    <row r="47">
      <c r="B47" s="33" t="inlineStr">
        <is>
          <t>Abondement PEE</t>
        </is>
      </c>
      <c r="C47" s="188" t="n">
        <v>1500</v>
      </c>
    </row>
    <row r="48">
      <c r="B48" s="33" t="inlineStr">
        <is>
          <t>Abondement PER collectif</t>
        </is>
      </c>
      <c r="C48" s="188" t="n">
        <v>3000</v>
      </c>
    </row>
    <row r="49">
      <c r="B49" s="33" t="inlineStr">
        <is>
          <t>Versement PER individuel (déductible)</t>
        </is>
      </c>
      <c r="C49" s="188" t="n">
        <v>5000</v>
      </c>
    </row>
    <row r="50">
      <c r="B50" s="33" t="inlineStr">
        <is>
          <t>Avantages en nature (valeur)</t>
        </is>
      </c>
      <c r="C50" s="188" t="n">
        <v>3600</v>
      </c>
    </row>
    <row r="51">
      <c r="B51" s="33" t="inlineStr">
        <is>
          <t>Tickets restaurant - part employeur</t>
        </is>
      </c>
      <c r="C51" s="188" t="n">
        <v>1742</v>
      </c>
    </row>
    <row r="52">
      <c r="B52" s="33" t="inlineStr">
        <is>
          <t>CESU préfinancé</t>
        </is>
      </c>
      <c r="C52" s="188" t="n">
        <v>2000</v>
      </c>
    </row>
    <row r="53">
      <c r="B53" s="33" t="inlineStr">
        <is>
          <t>Chèques cadeaux &amp; vacances</t>
        </is>
      </c>
      <c r="C53" s="188" t="n">
        <v>500</v>
      </c>
    </row>
    <row r="54">
      <c r="B54" s="33" t="inlineStr">
        <is>
          <t>Mutuelle / prévoyance employeur</t>
        </is>
      </c>
      <c r="C54" s="188" t="n">
        <v>1200</v>
      </c>
    </row>
    <row r="55">
      <c r="B55" s="33" t="inlineStr">
        <is>
          <t>Indemnités kilométriques</t>
        </is>
      </c>
      <c r="C55" s="188" t="n">
        <v>0</v>
      </c>
    </row>
    <row r="56">
      <c r="B56" s="55" t="inlineStr">
        <is>
          <t>💸 Cashback annuel</t>
        </is>
      </c>
      <c r="C56" s="189" t="n">
        <v>360</v>
      </c>
    </row>
    <row r="58" ht="21.75" customHeight="1">
      <c r="B58" s="133" t="inlineStr">
        <is>
          <t>7. 💸 MODE DE DÉPLOIEMENT DU CASHBACK</t>
        </is>
      </c>
    </row>
    <row r="59" ht="36" customHeight="1">
      <c r="B59" s="55" t="inlineStr">
        <is>
          <t>Mode de déploiement</t>
        </is>
      </c>
      <c r="C59" s="56" t="inlineStr">
        <is>
          <t>Conforme aux recommandations Sources</t>
        </is>
      </c>
      <c r="E59" s="47" t="inlineStr">
        <is>
          <t>« Conforme » : souscription nominative hors lien employeur, montants prudents, doc formalisée → coefficient 0,85, badge 🟠 À valider. « Standard » : sans structuration spécifique → coefficient 0,55, badge 🔴 Optimisé.</t>
        </is>
      </c>
    </row>
    <row r="60">
      <c r="B60" s="58" t="inlineStr">
        <is>
          <t>Coefficient de risque effectif</t>
        </is>
      </c>
      <c r="C60" s="59">
        <f>IF(C59="Conforme aux recommandations Sources",RISK_CASHBACK_CONFORME,RISK_CASHBACK_STANDARD)</f>
        <v/>
      </c>
      <c r="E60" s="47" t="inlineStr">
        <is>
          <t>Calculé automatiquement selon le mode de déploiement choisi.</t>
        </is>
      </c>
    </row>
    <row r="61">
      <c r="B61" s="58" t="inlineStr">
        <is>
          <t>Niveau de risque affiché</t>
        </is>
      </c>
      <c r="C61" s="60">
        <f>IF(C59="Conforme aux recommandations Sources","🟠 À valider","🔴 Optimisé")</f>
        <v/>
      </c>
      <c r="E61" s="47" t="inlineStr">
        <is>
          <t>Badge propagé au Dashboard.</t>
        </is>
      </c>
    </row>
    <row r="64" ht="21.75" customHeight="1">
      <c r="B64" s="133" t="inlineStr">
        <is>
          <t>✅ VALIDATION DES INPUTS (vérifications automatiques)</t>
        </is>
      </c>
    </row>
    <row r="65">
      <c r="B65" s="21" t="inlineStr">
        <is>
          <t>Règle de cohérence</t>
        </is>
      </c>
      <c r="C65" s="21" t="inlineStr">
        <is>
          <t>Statut</t>
        </is>
      </c>
      <c r="E65" s="21" t="inlineStr">
        <is>
          <t>Action si problème</t>
        </is>
      </c>
    </row>
    <row r="66" ht="31.5" customHeight="1">
      <c r="B66" s="30" t="inlineStr">
        <is>
          <t>Régime social libéral compatible avec mode 'Coût employeur'</t>
        </is>
      </c>
      <c r="C66" s="24">
        <f>IF(IF(AND(REGIME_SOCIAL="TNS (libéral)",INDEX(C:C,MATCH("Mode de pilotage",B:B,0))="Coût employeur global"),FALSE(),TRUE()),"✓","⚠")</f>
        <v/>
      </c>
      <c r="E66" s="158">
        <f>IF(IF(AND(REGIME_SOCIAL="TNS (libéral)",INDEX(C:C,MATCH("Mode de pilotage",B:B,0))="Coût employeur global"),FALSE(),TRUE()),"","Pour un libéral, le concept 'coût employeur' ne s'applique pas - passer en mode 'Rémunération nette dirigeant cible'.")</f>
        <v/>
      </c>
    </row>
    <row r="67" ht="31.5" customHeight="1">
      <c r="B67" s="30" t="inlineStr">
        <is>
          <t>Enveloppe ≥ 1 SMIC annuel (21 876 €)</t>
        </is>
      </c>
      <c r="C67" s="24">
        <f>IF(ENVELOPPE&gt;=21876,"✓","⚠")</f>
        <v/>
      </c>
      <c r="E67" s="158">
        <f>IF(ENVELOPPE&gt;=21876,"","L'enveloppe paraît trop faible - vérifier la cohérence (SMIC 2026 : 1 823,03 €/mois).")</f>
        <v/>
      </c>
    </row>
    <row r="68" ht="31.5" customHeight="1">
      <c r="B68" s="30" t="inlineStr">
        <is>
          <t>Abondement PEE ≤ plafond légal (8 % PASS = 3 845 €)</t>
        </is>
      </c>
      <c r="C68" s="24">
        <f>IF(IF(AND(TOG_ABO_PEE="Oui",M_ABO_PEE&gt;3845),FALSE(),TRUE()),"✓","⚠")</f>
        <v/>
      </c>
      <c r="E68" s="158">
        <f>IF(IF(AND(TOG_ABO_PEE="Oui",M_ABO_PEE&gt;3845),FALSE(),TRUE()),"","Abondement PEE &gt; 8 % PASS - réduire à 3 845 € max (CSS art. L.3332-11).")</f>
        <v/>
      </c>
    </row>
    <row r="69" ht="31.5" customHeight="1">
      <c r="B69" s="30" t="inlineStr">
        <is>
          <t>Abondement PER collectif ≤ plafond légal (16 % PASS = 7 690 €)</t>
        </is>
      </c>
      <c r="C69" s="24">
        <f>IF(IF(AND(TOG_ABO_PER="Oui",M_ABO_PER&gt;7690),FALSE(),TRUE()),"✓","⚠")</f>
        <v/>
      </c>
      <c r="E69" s="158">
        <f>IF(IF(AND(TOG_ABO_PER="Oui",M_ABO_PER&gt;7690),FALSE(),TRUE()),"","Abondement PER collectif &gt; 16 % PASS - réduire à 7 690 € max (CSS art. L.224-20).")</f>
        <v/>
      </c>
    </row>
    <row r="70" ht="31.5" customHeight="1">
      <c r="B70" s="30" t="inlineStr">
        <is>
          <t>Participation cohérente avec effectif (obligatoire ≥ 50)</t>
        </is>
      </c>
      <c r="C70" s="24">
        <f>IF(IF(AND(OR(EFFECTIF="Sans salarié",EFFECTIF="1-10 salariés",EFFECTIF="11-49 salariés"),TOG_PARTICIPATION="Oui",M_PARTICIPATION&gt;36045),FALSE(),TRUE()),"✓","⚠")</f>
        <v/>
      </c>
      <c r="E70" s="158">
        <f>IF(IF(AND(OR(EFFECTIF="Sans salarié",EFFECTIF="1-10 salariés",EFFECTIF="11-49 salariés"),TOG_PARTICIPATION="Oui",M_PARTICIPATION&gt;36045),FALSE(),TRUE()),"","Participation facultative sous 50 salariés mais plafond individuel 75 % PASS = 36 045 € s'applique.")</f>
        <v/>
      </c>
    </row>
    <row r="71" ht="31.5" customHeight="1">
      <c r="B71" s="30" t="inlineStr">
        <is>
          <t>Intéressement individuel ≤ plafond (75 % PASS = 36 045 €)</t>
        </is>
      </c>
      <c r="C71" s="24">
        <f>IF(IF(AND(TOG_INTERESSEMENT="Oui",M_INTERESSEMENT&gt;36045),FALSE(),TRUE()),"✓","⚠")</f>
        <v/>
      </c>
      <c r="E71" s="158">
        <f>IF(IF(AND(TOG_INTERESSEMENT="Oui",M_INTERESSEMENT&gt;36045),FALSE(),TRUE()),"","Montant intéressement individuel &gt; 75 % PASS - réduire à 36 045 € max.")</f>
        <v/>
      </c>
    </row>
    <row r="72" ht="31.5" customHeight="1">
      <c r="B72" s="30" t="inlineStr">
        <is>
          <t>Bénéfice IS ≥ enveloppe en mode coût employeur</t>
        </is>
      </c>
      <c r="C72" s="24">
        <f>IF(IF(INDEX(C:C,MATCH("Mode de pilotage",B:B,0))="Coût employeur global",INDEX(C:C,MATCH("Bénéfice IS de la société (€/an)",B:B,0))&gt;=ENVELOPPE,TRUE()),"✓","⚠")</f>
        <v/>
      </c>
      <c r="E72" s="158">
        <f>IF(IF(INDEX(C:C,MATCH("Mode de pilotage",B:B,0))="Coût employeur global",INDEX(C:C,MATCH("Bénéfice IS de la société (€/an)",B:B,0))&gt;=ENVELOPPE,TRUE()),"","Le bénéfice IS de la société doit couvrir l'enveloppe - vérifier la cohérence.")</f>
        <v/>
      </c>
    </row>
    <row r="73" ht="31.5" customHeight="1">
      <c r="B73" s="30" t="inlineStr">
        <is>
          <t>Dividendes foyer cohérents (≤ 5 × enveloppe)</t>
        </is>
      </c>
      <c r="C73" s="24">
        <f>IF(IF(DIVIDENDES_FOYER&lt;=5*ENVELOPPE,TRUE(),FALSE()),"✓","⚠")</f>
        <v/>
      </c>
      <c r="E73" s="158">
        <f>IF(IF(DIVIDENDES_FOYER&lt;=5*ENVELOPPE,TRUE(),FALSE()),"","Dividendes foyer &gt; 5× l'enveloppe - vérifier si ce sont bien des dividendes hors arbitrage ou s'il faut ajuster l'enveloppe.")</f>
        <v/>
      </c>
    </row>
    <row r="74" ht="31.5" customHeight="1">
      <c r="B74" s="30" t="inlineStr">
        <is>
          <t>Cashback en mode 'Standard' = risque URSSAF assumé</t>
        </is>
      </c>
      <c r="C74" s="24">
        <f>IF(IF(AND(TOG_CASHBACK="Oui",CASHBACK_MODE="Standard / non documenté"),FALSE(),TRUE()),"✓","⚠")</f>
        <v/>
      </c>
      <c r="E74" s="158">
        <f>IF(IF(AND(TOG_CASHBACK="Oui",CASHBACK_MODE="Standard / non documenté"),FALSE(),TRUE()),"","Mode Standard : provision risque URSSAF calculée en Synthèse. Confirmer avec le client que le risque est assumé.")</f>
        <v/>
      </c>
    </row>
    <row r="77" ht="15" customHeight="1">
      <c r="A77" s="134" t="inlineStr">
        <is>
          <t>Outil indicatif à usage professionnel - ne se substitue pas à un conseil personnalisé. Paramètres fiscaux à mettre à jour annuellement (cf. feuille « 13. Sources »).</t>
        </is>
      </c>
    </row>
  </sheetData>
  <mergeCells count="11">
    <mergeCell ref="B18:E18"/>
    <mergeCell ref="A77:H77"/>
    <mergeCell ref="A1:G1"/>
    <mergeCell ref="B4:E4"/>
    <mergeCell ref="B58:E58"/>
    <mergeCell ref="B30:E30"/>
    <mergeCell ref="B44:E44"/>
    <mergeCell ref="B64:E64"/>
    <mergeCell ref="A2:G2"/>
    <mergeCell ref="B11:E11"/>
    <mergeCell ref="B25:E25"/>
  </mergeCells>
  <conditionalFormatting sqref="C66:C74">
    <cfRule type="expression" priority="2" dxfId="1">
      <formula>C66="✓"</formula>
    </cfRule>
    <cfRule type="expression" priority="3" dxfId="7">
      <formula>C66="⚠"</formula>
    </cfRule>
  </conditionalFormatting>
  <conditionalFormatting sqref="E66:E74">
    <cfRule type="expression" priority="4" dxfId="9">
      <formula>LEN(E66)&gt;0</formula>
    </cfRule>
  </conditionalFormatting>
  <dataValidations count="7">
    <dataValidation sqref="C12" showDropDown="0" showInputMessage="0" showErrorMessage="0" allowBlank="0" type="list">
      <formula1>"SAS / SASU,SARL (gérance majoritaire),SARL (gérance minoritaire),EURL (gérant associé unique),EI (entrepreneur individuel),EI à l'IS,SELARL,SELAS,SCP,Salarié (sans structure)"</formula1>
      <formula2>0</formula2>
    </dataValidation>
    <dataValidation sqref="C14" showDropDown="0" showInputMessage="0" showErrorMessage="0" allowBlank="0" type="list">
      <formula1>"Sans salarié,1-10 salariés,11-49 salariés,50-249 salariés,≥ 250 salariés"</formula1>
      <formula2>0</formula2>
    </dataValidation>
    <dataValidation sqref="C19" showDropDown="0" showInputMessage="0" showErrorMessage="0" allowBlank="0" type="list">
      <formula1>"Célibataire / divorcé / veuf,Marié / pacsé"</formula1>
      <formula2>0</formula2>
    </dataValidation>
    <dataValidation sqref="C23" showDropDown="0" showInputMessage="0" showErrorMessage="0" allowBlank="0" type="list">
      <formula1>"Aucune (cas général),Parent isolé (case T),Personne seule ayant élevé un enfant ≥ 5 ans (case L),Veuf avec enfants à charge,Ancien combattant &gt; 74 ans ou invalide"</formula1>
      <formula2>0</formula2>
    </dataValidation>
    <dataValidation sqref="C26" showDropDown="0" showInputMessage="0" showErrorMessage="0" allowBlank="0" type="list">
      <formula1>"Coût employeur global,Rémunération nette dirigeant cible"</formula1>
      <formula2>0</formula2>
    </dataValidation>
    <dataValidation sqref="C31:C42" showDropDown="0" showInputMessage="0" showErrorMessage="0" allowBlank="0" type="list">
      <formula1>"Oui,Non"</formula1>
      <formula2>0</formula2>
    </dataValidation>
    <dataValidation sqref="C59" showDropDown="0" showInputMessage="0" showErrorMessage="0" allowBlank="0" type="list">
      <formula1>"Conforme aux recommandations Sources,Standard / non documenté"</formula1>
      <formula2>0</formula2>
    </dataValidation>
  </dataValidation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1F3864"/>
    <outlinePr summaryBelow="1" summaryRight="1"/>
    <pageSetUpPr fitToPage="1"/>
  </sheetPr>
  <dimension ref="A1:O38"/>
  <sheetViews>
    <sheetView showGridLines="0" zoomScaleNormal="100" workbookViewId="0">
      <pane xSplit="1" ySplit="11" topLeftCell="B12" activePane="bottomRight" state="frozen"/>
      <selection pane="topRight" activeCell="B1" sqref="B1"/>
      <selection pane="bottomLeft" activeCell="A12" sqref="A12"/>
      <selection pane="bottomRight" activeCell="A1" sqref="A1:G1"/>
    </sheetView>
  </sheetViews>
  <sheetFormatPr baseColWidth="10" defaultColWidth="8.6640625" defaultRowHeight="14.25"/>
  <cols>
    <col width="4" customWidth="1" min="1" max="1"/>
    <col width="36" customWidth="1" min="2" max="2"/>
    <col width="11" customWidth="1" min="3" max="3"/>
    <col width="14" customWidth="1" min="4" max="10"/>
    <col width="12" customWidth="1" min="11" max="11"/>
    <col width="11" customWidth="1" min="12" max="12"/>
    <col width="13" customWidth="1" min="13" max="13"/>
    <col width="8" customWidth="1" min="14" max="14"/>
    <col width="4" customWidth="1" min="15" max="15"/>
  </cols>
  <sheetData>
    <row r="1" ht="31.5" customHeight="1">
      <c r="A1" s="135" t="inlineStr">
        <is>
          <t>5.  Comparateur de dispositifs</t>
        </is>
      </c>
      <c r="O1" s="9" t="inlineStr">
        <is>
          <t>↩ Retour sommaire</t>
        </is>
      </c>
    </row>
    <row r="2" ht="19.5" customHeight="1">
      <c r="A2" s="136" t="inlineStr">
        <is>
          <t>Pour chaque dispositif activé, coût société, net dirigeant après IR et efficacité fiscale-sociale.</t>
        </is>
      </c>
    </row>
    <row r="4" ht="21.75" customHeight="1">
      <c r="B4" s="133" t="inlineStr">
        <is>
          <t>A. PARAMÈTRES DÉRIVÉS DU PROFIL CLIENT</t>
        </is>
      </c>
    </row>
    <row r="5">
      <c r="B5" s="29" t="inlineStr">
        <is>
          <t>Élément</t>
        </is>
      </c>
      <c r="C5" s="29" t="inlineStr">
        <is>
          <t>Valeur</t>
        </is>
      </c>
      <c r="D5" s="155" t="inlineStr">
        <is>
          <t>Mode de calcul</t>
        </is>
      </c>
      <c r="E5" s="175" t="n"/>
      <c r="F5" s="175" t="n"/>
      <c r="G5" s="175" t="n"/>
      <c r="H5" s="175" t="n"/>
      <c r="I5" s="175" t="n"/>
      <c r="J5" s="175" t="n"/>
    </row>
    <row r="6" ht="15" customHeight="1">
      <c r="B6" s="33" t="inlineStr">
        <is>
          <t>Revenu imposable estimé par part (€)</t>
        </is>
      </c>
      <c r="C6" s="190">
        <f>IF(REGIME_SOCIAL="TNS",ENVELOPPE*0.7,IF(REGIME_SOCIAL="TNS (libéral)",ENVELOPPE*0.7,IF(REGIME_SOCIAL="Salarié",ENVELOPPE*0.55,ENVELOPPE*0.55)))/PARTS+AUTRES_REV/PARTS</f>
        <v/>
      </c>
      <c r="D6" s="142" t="inlineStr">
        <is>
          <t>Estimé : enveloppe × ratio de net imposable (55 % salarié / 70 % TNS) / parts + autres rev./parts.</t>
        </is>
      </c>
    </row>
    <row r="7" ht="15" customHeight="1">
      <c r="B7" s="33" t="inlineStr">
        <is>
          <t>TMI marginal estimé</t>
        </is>
      </c>
      <c r="C7" s="191">
        <f>IF(C6&lt;=IR_PLAFOND_T1,0,IF(C6&lt;=IR_PLAFOND_T2,IR_TAUX_T2,IF(C6&lt;=IR_PLAFOND_T3,IR_TAUX_T3,IF(C6&lt;=IR_PLAFOND_T4,IR_TAUX_T4,IR_TAUX_T5))))</f>
        <v/>
      </c>
      <c r="D7" s="142" t="inlineStr">
        <is>
          <t>Taux marginal applicable au revenu par part (cf. barème 2025).</t>
        </is>
      </c>
    </row>
    <row r="8">
      <c r="B8" s="33" t="inlineStr">
        <is>
          <t>Forfait social - Participation (auto)</t>
        </is>
      </c>
      <c r="C8" s="192">
        <f>IF(OR(EFFECTIF="Sans salarié",EFFECTIF="1-10 salariés",EFFECTIF="11-49 salariés"),FS_PART_LT50,IF(EFFECTIF="50-249 salariés",FS_PART_50_249,IF(EFFECTIF="≥ 250 salariés",FS_PART_GE250,0)))</f>
        <v/>
      </c>
      <c r="D8" s="154" t="inlineStr">
        <is>
          <t>Calculé selon effectif (cf. feuille « 4. Paramètres »).</t>
        </is>
      </c>
    </row>
    <row r="9">
      <c r="B9" s="33" t="inlineStr">
        <is>
          <t>Forfait social - Intéressement (auto)</t>
        </is>
      </c>
      <c r="C9" s="192">
        <f>IF(EFFECTIF="≥ 250 salariés",FS_INT_GE250,FS_INT_LT250)</f>
        <v/>
      </c>
      <c r="D9" s="154" t="inlineStr">
        <is>
          <t>Idem.</t>
        </is>
      </c>
    </row>
    <row r="10">
      <c r="B10" s="33" t="inlineStr">
        <is>
          <t>Forfait social - Abondement (auto)</t>
        </is>
      </c>
      <c r="C10" s="192">
        <f>IF(OR(EFFECTIF="Sans salarié",EFFECTIF="1-10 salariés",EFFECTIF="11-49 salariés"),FS_ABO_LT50,FS_ABO_GE50)</f>
        <v/>
      </c>
      <c r="D10" s="154" t="inlineStr">
        <is>
          <t>Idem.</t>
        </is>
      </c>
    </row>
    <row r="12" ht="21.75" customHeight="1">
      <c r="B12" s="133" t="inlineStr">
        <is>
          <t>B. MATRICE DE RENTABILITÉ DES DISPOSITIFS - incluant scoring pondéré</t>
        </is>
      </c>
    </row>
    <row r="13" ht="30" customHeight="1">
      <c r="B13" s="21" t="inlineStr">
        <is>
          <t>Dispositif</t>
        </is>
      </c>
      <c r="C13" s="21" t="inlineStr">
        <is>
          <t>Activé</t>
        </is>
      </c>
      <c r="D13" s="21" t="inlineStr">
        <is>
          <t>Montant input (€)</t>
        </is>
      </c>
      <c r="E13" s="21" t="inlineStr">
        <is>
          <t>Coût société (€)</t>
        </is>
      </c>
      <c r="F13" s="21" t="inlineStr">
        <is>
          <t>Coût bénéficiaire (€)</t>
        </is>
      </c>
      <c r="G13" s="21" t="inlineStr">
        <is>
          <t>Cotisations &amp; PS (€)</t>
        </is>
      </c>
      <c r="H13" s="21" t="inlineStr">
        <is>
          <t>Net imposable (€)</t>
        </is>
      </c>
      <c r="I13" s="21" t="inlineStr">
        <is>
          <t>IR estimé (€)</t>
        </is>
      </c>
      <c r="J13" s="21" t="inlineStr">
        <is>
          <t>Net après IR (€)</t>
        </is>
      </c>
      <c r="K13" s="21" t="inlineStr">
        <is>
          <t>Ratio net / coût (%)</t>
        </is>
      </c>
      <c r="L13" s="21" t="inlineStr">
        <is>
          <t>Coef. risque</t>
        </is>
      </c>
      <c r="M13" s="21" t="inlineStr">
        <is>
          <t>Score ajusté (%)</t>
        </is>
      </c>
      <c r="N13" s="21" t="inlineStr">
        <is>
          <t>Top 3</t>
        </is>
      </c>
    </row>
    <row r="14" ht="18" customHeight="1">
      <c r="B14" s="33" t="inlineStr">
        <is>
          <t>Salaire classique (référence)</t>
        </is>
      </c>
      <c r="C14" s="24" t="inlineStr">
        <is>
          <t>Réf.</t>
        </is>
      </c>
      <c r="D14" s="190">
        <f>ENVELOPPE/(1+TX_PATRONAL)</f>
        <v/>
      </c>
      <c r="E14" s="185">
        <f>ENVELOPPE</f>
        <v/>
      </c>
      <c r="F14" s="185">
        <f>0</f>
        <v/>
      </c>
      <c r="G14" s="185">
        <f>D14*TX_SALARIAL+D14*ASSIETTE_CSG_SAL*TX_CSG_CRDS_ACT</f>
        <v/>
      </c>
      <c r="H14" s="185">
        <f>D14-D14*TX_SALARIAL-D14*ASSIETTE_CSG_SAL*0.068</f>
        <v/>
      </c>
      <c r="I14" s="185">
        <f>H14*$C$7</f>
        <v/>
      </c>
      <c r="J14" s="185">
        <f>D14-G14-I14</f>
        <v/>
      </c>
      <c r="K14" s="191">
        <f>IFERROR(J14/(E14+F14),0)</f>
        <v/>
      </c>
      <c r="L14" s="64">
        <f>RISK_SALAIRE</f>
        <v/>
      </c>
      <c r="M14" s="191">
        <f>K14*L14</f>
        <v/>
      </c>
      <c r="N14" s="42" t="inlineStr">
        <is>
          <t>-</t>
        </is>
      </c>
    </row>
    <row r="15" ht="18" customHeight="1">
      <c r="B15" s="33" t="inlineStr">
        <is>
          <t>Dividendes - PFU 30 %</t>
        </is>
      </c>
      <c r="C15" s="24" t="inlineStr">
        <is>
          <t>Variable</t>
        </is>
      </c>
      <c r="D15" s="188">
        <f>10000</f>
        <v/>
      </c>
      <c r="E15" s="185">
        <f>D15/(1-TX_IS_NORMAL)</f>
        <v/>
      </c>
      <c r="F15" s="185">
        <f>0</f>
        <v/>
      </c>
      <c r="G15" s="185">
        <f>D15*TX_PFU</f>
        <v/>
      </c>
      <c r="H15" s="185">
        <f>0</f>
        <v/>
      </c>
      <c r="I15" s="185">
        <f>0</f>
        <v/>
      </c>
      <c r="J15" s="185">
        <f>D15-G15</f>
        <v/>
      </c>
      <c r="K15" s="191">
        <f>IFERROR(J15/E15,0)</f>
        <v/>
      </c>
      <c r="L15" s="64">
        <f>RISK_DIVIDENDES</f>
        <v/>
      </c>
      <c r="M15" s="191">
        <f>K15*L15</f>
        <v/>
      </c>
      <c r="N15" s="42" t="inlineStr">
        <is>
          <t>-</t>
        </is>
      </c>
    </row>
    <row r="16" ht="18" customHeight="1">
      <c r="B16" s="33" t="inlineStr">
        <is>
          <t>Participation (placée 5 ans en PEE)</t>
        </is>
      </c>
      <c r="C16" s="65">
        <f>TOG_PARTICIPATION</f>
        <v/>
      </c>
      <c r="D16" s="190">
        <f>M_PARTICIPATION</f>
        <v/>
      </c>
      <c r="E16" s="185">
        <f>IF(C16="Oui",D16*(1+$C$8),0)</f>
        <v/>
      </c>
      <c r="F16" s="185">
        <f>0</f>
        <v/>
      </c>
      <c r="G16" s="185">
        <f>IF(C16="Oui",D16*TX_CSG_CRDS_ACT,0)</f>
        <v/>
      </c>
      <c r="H16" s="185">
        <f>0</f>
        <v/>
      </c>
      <c r="I16" s="185">
        <f>0</f>
        <v/>
      </c>
      <c r="J16" s="185">
        <f>IF(C16="Oui",D16-G16,0)</f>
        <v/>
      </c>
      <c r="K16" s="191">
        <f>IFERROR(J16/E16,0)</f>
        <v/>
      </c>
      <c r="L16" s="64">
        <f>RISK_PARTICIPATION</f>
        <v/>
      </c>
      <c r="M16" s="191">
        <f>K16*L16</f>
        <v/>
      </c>
      <c r="N16" s="66">
        <f>IF(C16&lt;&gt;"Oui","",IF((SUMPRODUCT(($C$16:$C$27="Oui")*($M$16:$M$27&gt;M16))+SUMPRODUCT(($C$16:$C$27="Oui")*($M$16:$M$27=M16)*(ROW($M$16:$M$27)&lt;16)))=0,"🥇",IF((SUMPRODUCT(($C$16:$C$27="Oui")*($M$16:$M$27&gt;M16))+SUMPRODUCT(($C$16:$C$27="Oui")*($M$16:$M$27=M16)*(ROW($M$16:$M$27)&lt;16)))=1,"🥈",IF((SUMPRODUCT(($C$16:$C$27="Oui")*($M$16:$M$27&gt;M16))+SUMPRODUCT(($C$16:$C$27="Oui")*($M$16:$M$27=M16)*(ROW($M$16:$M$27)&lt;16)))=2,"🥉",""))))</f>
        <v/>
      </c>
    </row>
    <row r="17" ht="18" customHeight="1">
      <c r="B17" s="33" t="inlineStr">
        <is>
          <t>Intéressement (placé 5 ans en PEE)</t>
        </is>
      </c>
      <c r="C17" s="65">
        <f>TOG_INTERESSEMENT</f>
        <v/>
      </c>
      <c r="D17" s="190">
        <f>M_INTERESSEMENT</f>
        <v/>
      </c>
      <c r="E17" s="185">
        <f>IF(C17="Oui",D17*(1+$C$9),0)</f>
        <v/>
      </c>
      <c r="F17" s="185">
        <f>0</f>
        <v/>
      </c>
      <c r="G17" s="185">
        <f>IF(C17="Oui",D17*TX_CSG_CRDS_ACT,0)</f>
        <v/>
      </c>
      <c r="H17" s="185">
        <f>0</f>
        <v/>
      </c>
      <c r="I17" s="185">
        <f>0</f>
        <v/>
      </c>
      <c r="J17" s="185">
        <f>IF(C17="Oui",D17-G17,0)</f>
        <v/>
      </c>
      <c r="K17" s="191">
        <f>IFERROR(J17/E17,0)</f>
        <v/>
      </c>
      <c r="L17" s="64">
        <f>RISK_INTERESSEMENT</f>
        <v/>
      </c>
      <c r="M17" s="191">
        <f>K17*L17</f>
        <v/>
      </c>
      <c r="N17" s="66">
        <f>IF(C17&lt;&gt;"Oui","",IF((SUMPRODUCT(($C$16:$C$27="Oui")*($M$16:$M$27&gt;M17))+SUMPRODUCT(($C$16:$C$27="Oui")*($M$16:$M$27=M17)*(ROW($M$16:$M$27)&lt;17)))=0,"🥇",IF((SUMPRODUCT(($C$16:$C$27="Oui")*($M$16:$M$27&gt;M17))+SUMPRODUCT(($C$16:$C$27="Oui")*($M$16:$M$27=M17)*(ROW($M$16:$M$27)&lt;17)))=1,"🥈",IF((SUMPRODUCT(($C$16:$C$27="Oui")*($M$16:$M$27&gt;M17))+SUMPRODUCT(($C$16:$C$27="Oui")*($M$16:$M$27=M17)*(ROW($M$16:$M$27)&lt;17)))=2,"🥉",""))))</f>
        <v/>
      </c>
    </row>
    <row r="18" ht="18" customHeight="1">
      <c r="B18" s="33" t="inlineStr">
        <is>
          <t>Abondement employeur PEE</t>
        </is>
      </c>
      <c r="C18" s="65">
        <f>TOG_ABO_PEE</f>
        <v/>
      </c>
      <c r="D18" s="190">
        <f>M_ABO_PEE</f>
        <v/>
      </c>
      <c r="E18" s="185">
        <f>IF(C18="Oui",D18*(1+$C$10),0)</f>
        <v/>
      </c>
      <c r="F18" s="185">
        <f>0</f>
        <v/>
      </c>
      <c r="G18" s="185">
        <f>IF(C18="Oui",D18*TX_CSG_CRDS_ACT,0)</f>
        <v/>
      </c>
      <c r="H18" s="185">
        <f>0</f>
        <v/>
      </c>
      <c r="I18" s="185">
        <f>0</f>
        <v/>
      </c>
      <c r="J18" s="185">
        <f>IF(C18="Oui",D18-G18,0)</f>
        <v/>
      </c>
      <c r="K18" s="191">
        <f>IFERROR(J18/E18,0)</f>
        <v/>
      </c>
      <c r="L18" s="64">
        <f>RISK_ABO_PEE</f>
        <v/>
      </c>
      <c r="M18" s="191">
        <f>K18*L18</f>
        <v/>
      </c>
      <c r="N18" s="66">
        <f>IF(C18&lt;&gt;"Oui","",IF((SUMPRODUCT(($C$16:$C$27="Oui")*($M$16:$M$27&gt;M18))+SUMPRODUCT(($C$16:$C$27="Oui")*($M$16:$M$27=M18)*(ROW($M$16:$M$27)&lt;18)))=0,"🥇",IF((SUMPRODUCT(($C$16:$C$27="Oui")*($M$16:$M$27&gt;M18))+SUMPRODUCT(($C$16:$C$27="Oui")*($M$16:$M$27=M18)*(ROW($M$16:$M$27)&lt;18)))=1,"🥈",IF((SUMPRODUCT(($C$16:$C$27="Oui")*($M$16:$M$27&gt;M18))+SUMPRODUCT(($C$16:$C$27="Oui")*($M$16:$M$27=M18)*(ROW($M$16:$M$27)&lt;18)))=2,"🥉",""))))</f>
        <v/>
      </c>
    </row>
    <row r="19" ht="18" customHeight="1">
      <c r="B19" s="33" t="inlineStr">
        <is>
          <t>Abondement employeur PER collectif</t>
        </is>
      </c>
      <c r="C19" s="65">
        <f>TOG_ABO_PER</f>
        <v/>
      </c>
      <c r="D19" s="190">
        <f>M_ABO_PER</f>
        <v/>
      </c>
      <c r="E19" s="185">
        <f>IF(C19="Oui",D19*(1+$C$10),0)</f>
        <v/>
      </c>
      <c r="F19" s="185">
        <f>0</f>
        <v/>
      </c>
      <c r="G19" s="185">
        <f>IF(C19="Oui",D19*TX_CSG_CRDS_ACT,0)</f>
        <v/>
      </c>
      <c r="H19" s="185">
        <f>0</f>
        <v/>
      </c>
      <c r="I19" s="185">
        <f>0</f>
        <v/>
      </c>
      <c r="J19" s="185">
        <f>IF(C19="Oui",D19-G19,0)</f>
        <v/>
      </c>
      <c r="K19" s="191">
        <f>IFERROR(J19/E19,0)</f>
        <v/>
      </c>
      <c r="L19" s="64">
        <f>RISK_ABO_PER</f>
        <v/>
      </c>
      <c r="M19" s="191">
        <f>K19*L19</f>
        <v/>
      </c>
      <c r="N19" s="66">
        <f>IF(C19&lt;&gt;"Oui","",IF((SUMPRODUCT(($C$16:$C$27="Oui")*($M$16:$M$27&gt;M19))+SUMPRODUCT(($C$16:$C$27="Oui")*($M$16:$M$27=M19)*(ROW($M$16:$M$27)&lt;19)))=0,"🥇",IF((SUMPRODUCT(($C$16:$C$27="Oui")*($M$16:$M$27&gt;M19))+SUMPRODUCT(($C$16:$C$27="Oui")*($M$16:$M$27=M19)*(ROW($M$16:$M$27)&lt;19)))=1,"🥈",IF((SUMPRODUCT(($C$16:$C$27="Oui")*($M$16:$M$27&gt;M19))+SUMPRODUCT(($C$16:$C$27="Oui")*($M$16:$M$27=M19)*(ROW($M$16:$M$27)&lt;19)))=2,"🥉",""))))</f>
        <v/>
      </c>
    </row>
    <row r="20" ht="18" customHeight="1">
      <c r="B20" s="33" t="inlineStr">
        <is>
          <t>PER individuel (versement déductible)</t>
        </is>
      </c>
      <c r="C20" s="65">
        <f>TOG_PERIN</f>
        <v/>
      </c>
      <c r="D20" s="190">
        <f>M_PERIN</f>
        <v/>
      </c>
      <c r="E20" s="185">
        <f>0</f>
        <v/>
      </c>
      <c r="F20" s="185">
        <f>IF(C20="Oui",D20*(1-$C$7),0)</f>
        <v/>
      </c>
      <c r="G20" s="185">
        <f>0</f>
        <v/>
      </c>
      <c r="H20" s="185">
        <f>IF(C20="Oui",-D20,0)</f>
        <v/>
      </c>
      <c r="I20" s="185">
        <f>IF(C20="Oui",-D20*$C$7,0)</f>
        <v/>
      </c>
      <c r="J20" s="185">
        <f>IF(C20="Oui",D20-F20,0)</f>
        <v/>
      </c>
      <c r="K20" s="191">
        <f>IFERROR(J20/MAX(F20,1),0)</f>
        <v/>
      </c>
      <c r="L20" s="64">
        <f>RISK_PERIN</f>
        <v/>
      </c>
      <c r="M20" s="191">
        <f>K20*L20</f>
        <v/>
      </c>
      <c r="N20" s="66">
        <f>IF(C20&lt;&gt;"Oui","",IF((SUMPRODUCT(($C$16:$C$27="Oui")*($M$16:$M$27&gt;M20))+SUMPRODUCT(($C$16:$C$27="Oui")*($M$16:$M$27=M20)*(ROW($M$16:$M$27)&lt;20)))=0,"🥇",IF((SUMPRODUCT(($C$16:$C$27="Oui")*($M$16:$M$27&gt;M20))+SUMPRODUCT(($C$16:$C$27="Oui")*($M$16:$M$27=M20)*(ROW($M$16:$M$27)&lt;20)))=1,"🥈",IF((SUMPRODUCT(($C$16:$C$27="Oui")*($M$16:$M$27&gt;M20))+SUMPRODUCT(($C$16:$C$27="Oui")*($M$16:$M$27=M20)*(ROW($M$16:$M$27)&lt;20)))=2,"🥉",""))))</f>
        <v/>
      </c>
    </row>
    <row r="21" ht="18" customHeight="1">
      <c r="B21" s="33" t="inlineStr">
        <is>
          <t>Avantages en nature (véhicule, NTIC...)</t>
        </is>
      </c>
      <c r="C21" s="65">
        <f>TOG_AVANTAGES</f>
        <v/>
      </c>
      <c r="D21" s="190">
        <f>M_AVANTAGES</f>
        <v/>
      </c>
      <c r="E21" s="185">
        <f>IF(C21="Oui",D21*(1+TX_PATRONAL),0)</f>
        <v/>
      </c>
      <c r="F21" s="185">
        <f>0</f>
        <v/>
      </c>
      <c r="G21" s="185">
        <f>IF(C21="Oui",D21*(TX_SALARIAL+ASSIETTE_CSG_SAL*0.068),0)</f>
        <v/>
      </c>
      <c r="H21" s="185">
        <f>IF(C21="Oui",D21*(1-TX_SALARIAL-ASSIETTE_CSG_SAL*0.068),0)</f>
        <v/>
      </c>
      <c r="I21" s="185">
        <f>IF(C21="Oui",H21*$C$7,0)</f>
        <v/>
      </c>
      <c r="J21" s="185">
        <f>IF(C21="Oui",D21-G21-I21,0)</f>
        <v/>
      </c>
      <c r="K21" s="191">
        <f>IFERROR(J21/E21,0)</f>
        <v/>
      </c>
      <c r="L21" s="64">
        <f>RISK_AVANTAGES</f>
        <v/>
      </c>
      <c r="M21" s="191">
        <f>K21*L21</f>
        <v/>
      </c>
      <c r="N21" s="66">
        <f>IF(C21&lt;&gt;"Oui","",IF((SUMPRODUCT(($C$16:$C$27="Oui")*($M$16:$M$27&gt;M21))+SUMPRODUCT(($C$16:$C$27="Oui")*($M$16:$M$27=M21)*(ROW($M$16:$M$27)&lt;21)))=0,"🥇",IF((SUMPRODUCT(($C$16:$C$27="Oui")*($M$16:$M$27&gt;M21))+SUMPRODUCT(($C$16:$C$27="Oui")*($M$16:$M$27=M21)*(ROW($M$16:$M$27)&lt;21)))=1,"🥈",IF((SUMPRODUCT(($C$16:$C$27="Oui")*($M$16:$M$27&gt;M21))+SUMPRODUCT(($C$16:$C$27="Oui")*($M$16:$M$27=M21)*(ROW($M$16:$M$27)&lt;21)))=2,"🥉",""))))</f>
        <v/>
      </c>
    </row>
    <row r="22" ht="18" customHeight="1">
      <c r="B22" s="33" t="inlineStr">
        <is>
          <t>Tickets restaurant (part employeur exonérée)</t>
        </is>
      </c>
      <c r="C22" s="65">
        <f>TOG_TR</f>
        <v/>
      </c>
      <c r="D22" s="190">
        <f>M_TR</f>
        <v/>
      </c>
      <c r="E22" s="185">
        <f>IF(C22="Oui",D22,0)</f>
        <v/>
      </c>
      <c r="F22" s="185">
        <f>0</f>
        <v/>
      </c>
      <c r="G22" s="185">
        <f>0</f>
        <v/>
      </c>
      <c r="H22" s="185">
        <f>0</f>
        <v/>
      </c>
      <c r="I22" s="185">
        <f>0</f>
        <v/>
      </c>
      <c r="J22" s="185">
        <f>IF(C22="Oui",D22,0)</f>
        <v/>
      </c>
      <c r="K22" s="191">
        <f>IFERROR(J22/E22,0)</f>
        <v/>
      </c>
      <c r="L22" s="64">
        <f>RISK_TR</f>
        <v/>
      </c>
      <c r="M22" s="191">
        <f>K22*L22</f>
        <v/>
      </c>
      <c r="N22" s="66">
        <f>IF(C22&lt;&gt;"Oui","",IF((SUMPRODUCT(($C$16:$C$27="Oui")*($M$16:$M$27&gt;M22))+SUMPRODUCT(($C$16:$C$27="Oui")*($M$16:$M$27=M22)*(ROW($M$16:$M$27)&lt;22)))=0,"🥇",IF((SUMPRODUCT(($C$16:$C$27="Oui")*($M$16:$M$27&gt;M22))+SUMPRODUCT(($C$16:$C$27="Oui")*($M$16:$M$27=M22)*(ROW($M$16:$M$27)&lt;22)))=1,"🥈",IF((SUMPRODUCT(($C$16:$C$27="Oui")*($M$16:$M$27&gt;M22))+SUMPRODUCT(($C$16:$C$27="Oui")*($M$16:$M$27=M22)*(ROW($M$16:$M$27)&lt;22)))=2,"🥉",""))))</f>
        <v/>
      </c>
    </row>
    <row r="23" ht="18" customHeight="1">
      <c r="B23" s="33" t="inlineStr">
        <is>
          <t>CESU préfinancé (exonéré ≤ 2 540 €)</t>
        </is>
      </c>
      <c r="C23" s="65">
        <f>TOG_CESU</f>
        <v/>
      </c>
      <c r="D23" s="190">
        <f>M_CESU</f>
        <v/>
      </c>
      <c r="E23" s="185">
        <f>IF(C23="Oui",D23,0)</f>
        <v/>
      </c>
      <c r="F23" s="185">
        <f>0</f>
        <v/>
      </c>
      <c r="G23" s="185">
        <f>0</f>
        <v/>
      </c>
      <c r="H23" s="185">
        <f>0</f>
        <v/>
      </c>
      <c r="I23" s="185">
        <f>0</f>
        <v/>
      </c>
      <c r="J23" s="185">
        <f>IF(C23="Oui",D23,0)</f>
        <v/>
      </c>
      <c r="K23" s="191">
        <f>IFERROR(J23/E23,0)</f>
        <v/>
      </c>
      <c r="L23" s="64">
        <f>RISK_CESU</f>
        <v/>
      </c>
      <c r="M23" s="191">
        <f>K23*L23</f>
        <v/>
      </c>
      <c r="N23" s="66">
        <f>IF(C23&lt;&gt;"Oui","",IF((SUMPRODUCT(($C$16:$C$27="Oui")*($M$16:$M$27&gt;M23))+SUMPRODUCT(($C$16:$C$27="Oui")*($M$16:$M$27=M23)*(ROW($M$16:$M$27)&lt;23)))=0,"🥇",IF((SUMPRODUCT(($C$16:$C$27="Oui")*($M$16:$M$27&gt;M23))+SUMPRODUCT(($C$16:$C$27="Oui")*($M$16:$M$27=M23)*(ROW($M$16:$M$27)&lt;23)))=1,"🥈",IF((SUMPRODUCT(($C$16:$C$27="Oui")*($M$16:$M$27&gt;M23))+SUMPRODUCT(($C$16:$C$27="Oui")*($M$16:$M$27=M23)*(ROW($M$16:$M$27)&lt;23)))=2,"🥉",""))))</f>
        <v/>
      </c>
    </row>
    <row r="24" ht="18" customHeight="1">
      <c r="B24" s="33" t="inlineStr">
        <is>
          <t>Chèques cadeaux &amp; vacances (tolérance URSSAF)</t>
        </is>
      </c>
      <c r="C24" s="65">
        <f>TOG_CADO</f>
        <v/>
      </c>
      <c r="D24" s="190">
        <f>M_CADO</f>
        <v/>
      </c>
      <c r="E24" s="185">
        <f>IF(C24="Oui",D24,0)</f>
        <v/>
      </c>
      <c r="F24" s="185">
        <f>0</f>
        <v/>
      </c>
      <c r="G24" s="185">
        <f>0</f>
        <v/>
      </c>
      <c r="H24" s="185">
        <f>0</f>
        <v/>
      </c>
      <c r="I24" s="185">
        <f>0</f>
        <v/>
      </c>
      <c r="J24" s="185">
        <f>IF(C24="Oui",D24,0)</f>
        <v/>
      </c>
      <c r="K24" s="191">
        <f>IFERROR(J24/E24,0)</f>
        <v/>
      </c>
      <c r="L24" s="64">
        <f>RISK_CADO</f>
        <v/>
      </c>
      <c r="M24" s="191">
        <f>K24*L24</f>
        <v/>
      </c>
      <c r="N24" s="66">
        <f>IF(C24&lt;&gt;"Oui","",IF((SUMPRODUCT(($C$16:$C$27="Oui")*($M$16:$M$27&gt;M24))+SUMPRODUCT(($C$16:$C$27="Oui")*($M$16:$M$27=M24)*(ROW($M$16:$M$27)&lt;24)))=0,"🥇",IF((SUMPRODUCT(($C$16:$C$27="Oui")*($M$16:$M$27&gt;M24))+SUMPRODUCT(($C$16:$C$27="Oui")*($M$16:$M$27=M24)*(ROW($M$16:$M$27)&lt;24)))=1,"🥈",IF((SUMPRODUCT(($C$16:$C$27="Oui")*($M$16:$M$27&gt;M24))+SUMPRODUCT(($C$16:$C$27="Oui")*($M$16:$M$27=M24)*(ROW($M$16:$M$27)&lt;24)))=2,"🥉",""))))</f>
        <v/>
      </c>
    </row>
    <row r="25" ht="18" customHeight="1">
      <c r="B25" s="33" t="inlineStr">
        <is>
          <t>Mutuelle / prévoyance employeur</t>
        </is>
      </c>
      <c r="C25" s="65">
        <f>TOG_MUTUELLE</f>
        <v/>
      </c>
      <c r="D25" s="190">
        <f>M_MUTUELLE</f>
        <v/>
      </c>
      <c r="E25" s="185">
        <f>IF(C25="Oui",D25,0)</f>
        <v/>
      </c>
      <c r="F25" s="185">
        <f>0</f>
        <v/>
      </c>
      <c r="G25" s="185">
        <f>IF(C25="Oui",D25*TX_CSG_CRDS_ACT,0)</f>
        <v/>
      </c>
      <c r="H25" s="185">
        <f>0</f>
        <v/>
      </c>
      <c r="I25" s="185">
        <f>0</f>
        <v/>
      </c>
      <c r="J25" s="185">
        <f>IF(C25="Oui",D25-G25,0)</f>
        <v/>
      </c>
      <c r="K25" s="191">
        <f>IFERROR(J25/E25,0)</f>
        <v/>
      </c>
      <c r="L25" s="64">
        <f>RISK_MUTUELLE</f>
        <v/>
      </c>
      <c r="M25" s="191">
        <f>K25*L25</f>
        <v/>
      </c>
      <c r="N25" s="66">
        <f>IF(C25&lt;&gt;"Oui","",IF((SUMPRODUCT(($C$16:$C$27="Oui")*($M$16:$M$27&gt;M25))+SUMPRODUCT(($C$16:$C$27="Oui")*($M$16:$M$27=M25)*(ROW($M$16:$M$27)&lt;25)))=0,"🥇",IF((SUMPRODUCT(($C$16:$C$27="Oui")*($M$16:$M$27&gt;M25))+SUMPRODUCT(($C$16:$C$27="Oui")*($M$16:$M$27=M25)*(ROW($M$16:$M$27)&lt;25)))=1,"🥈",IF((SUMPRODUCT(($C$16:$C$27="Oui")*($M$16:$M$27&gt;M25))+SUMPRODUCT(($C$16:$C$27="Oui")*($M$16:$M$27=M25)*(ROW($M$16:$M$27)&lt;25)))=2,"🥉",""))))</f>
        <v/>
      </c>
    </row>
    <row r="26" ht="18" customHeight="1">
      <c r="B26" s="33" t="inlineStr">
        <is>
          <t>Indemnités kilométriques (barème fiscal)</t>
        </is>
      </c>
      <c r="C26" s="65">
        <f>TOG_IK</f>
        <v/>
      </c>
      <c r="D26" s="190">
        <f>M_IK</f>
        <v/>
      </c>
      <c r="E26" s="185">
        <f>IF(C26="Oui",D26,0)</f>
        <v/>
      </c>
      <c r="F26" s="185">
        <f>0</f>
        <v/>
      </c>
      <c r="G26" s="185">
        <f>0</f>
        <v/>
      </c>
      <c r="H26" s="185">
        <f>0</f>
        <v/>
      </c>
      <c r="I26" s="185">
        <f>0</f>
        <v/>
      </c>
      <c r="J26" s="185">
        <f>IF(C26="Oui",D26,0)</f>
        <v/>
      </c>
      <c r="K26" s="191">
        <f>IFERROR(J26/E26,0)</f>
        <v/>
      </c>
      <c r="L26" s="64">
        <f>RISK_IK</f>
        <v/>
      </c>
      <c r="M26" s="191">
        <f>K26*L26</f>
        <v/>
      </c>
      <c r="N26" s="66">
        <f>IF(C26&lt;&gt;"Oui","",IF((SUMPRODUCT(($C$16:$C$27="Oui")*($M$16:$M$27&gt;M26))+SUMPRODUCT(($C$16:$C$27="Oui")*($M$16:$M$27=M26)*(ROW($M$16:$M$27)&lt;26)))=0,"🥇",IF((SUMPRODUCT(($C$16:$C$27="Oui")*($M$16:$M$27&gt;M26))+SUMPRODUCT(($C$16:$C$27="Oui")*($M$16:$M$27=M26)*(ROW($M$16:$M$27)&lt;26)))=1,"🥈",IF((SUMPRODUCT(($C$16:$C$27="Oui")*($M$16:$M$27&gt;M26))+SUMPRODUCT(($C$16:$C$27="Oui")*($M$16:$M$27=M26)*(ROW($M$16:$M$27)&lt;26)))=2,"🥉",""))))</f>
        <v/>
      </c>
    </row>
    <row r="27" ht="18" customHeight="1">
      <c r="B27" s="55" t="inlineStr">
        <is>
          <t>💸 Cashback (programme partenaire)</t>
        </is>
      </c>
      <c r="C27" s="67">
        <f>TOG_CASHBACK</f>
        <v/>
      </c>
      <c r="D27" s="193">
        <f>M_CASHBACK</f>
        <v/>
      </c>
      <c r="E27" s="194">
        <f>IF(C27="Oui",D27,0)</f>
        <v/>
      </c>
      <c r="F27" s="194">
        <f>0</f>
        <v/>
      </c>
      <c r="G27" s="194">
        <f>0</f>
        <v/>
      </c>
      <c r="H27" s="194">
        <f>0</f>
        <v/>
      </c>
      <c r="I27" s="194">
        <f>0</f>
        <v/>
      </c>
      <c r="J27" s="194">
        <f>IF(C27="Oui",D27,0)</f>
        <v/>
      </c>
      <c r="K27" s="195">
        <f>IFERROR(J27/MAX(E27,1),0)</f>
        <v/>
      </c>
      <c r="L27" s="71">
        <f>RISK_CASHBACK</f>
        <v/>
      </c>
      <c r="M27" s="195">
        <f>K27*L27</f>
        <v/>
      </c>
      <c r="N27" s="72">
        <f>IF(C27&lt;&gt;"Oui","",IF((SUMPRODUCT(($C$16:$C$27="Oui")*($M$16:$M$27&gt;M27))+SUMPRODUCT(($C$16:$C$27="Oui")*($M$16:$M$27=M27)*(ROW($M$16:$M$27)&lt;27)))=0,"🥇",IF((SUMPRODUCT(($C$16:$C$27="Oui")*($M$16:$M$27&gt;M27))+SUMPRODUCT(($C$16:$C$27="Oui")*($M$16:$M$27=M27)*(ROW($M$16:$M$27)&lt;27)))=1,"🥈",IF((SUMPRODUCT(($C$16:$C$27="Oui")*($M$16:$M$27&gt;M27))+SUMPRODUCT(($C$16:$C$27="Oui")*($M$16:$M$27=M27)*(ROW($M$16:$M$27)&lt;27)))=2,"🥉",""))))</f>
        <v/>
      </c>
    </row>
    <row r="28" ht="21.75" customHeight="1">
      <c r="B28" s="73" t="inlineStr">
        <is>
          <t>TOTAL DISPOSITIFS ACTIVÉS (hors salaire &amp; dividendes)</t>
        </is>
      </c>
      <c r="C28" s="74" t="n"/>
      <c r="D28" s="196">
        <f>SUM(D16:D27)</f>
        <v/>
      </c>
      <c r="E28" s="196">
        <f>SUM(E16:E27)</f>
        <v/>
      </c>
      <c r="F28" s="196">
        <f>SUM(F16:F27)</f>
        <v/>
      </c>
      <c r="G28" s="196">
        <f>SUM(G16:G27)</f>
        <v/>
      </c>
      <c r="H28" s="196">
        <f>SUM(H16:H27)</f>
        <v/>
      </c>
      <c r="I28" s="196">
        <f>SUM(I16:I27)</f>
        <v/>
      </c>
      <c r="J28" s="196">
        <f>SUM(J16:J27)</f>
        <v/>
      </c>
      <c r="K28" s="197">
        <f>IFERROR(J28/(E28+F28),0)</f>
        <v/>
      </c>
      <c r="L28" s="74" t="n"/>
      <c r="M28" s="74" t="n"/>
      <c r="N28" s="74" t="n"/>
    </row>
    <row r="30">
      <c r="B30" s="48" t="inlineStr">
        <is>
          <t>Notes &amp; hypothèses simplificatrices</t>
        </is>
      </c>
    </row>
    <row r="31" ht="18" customHeight="1">
      <c r="B31" s="142" t="inlineStr">
        <is>
          <t>• Participation, intéressement et abondements supposés placés ≥ 5 ans en PEE/PERECO → exonération d'IR (sortie en capital).</t>
        </is>
      </c>
    </row>
    <row r="32" ht="18" customHeight="1">
      <c r="B32" s="142" t="inlineStr">
        <is>
          <t>• Versement PER individuel : économie IR matérialisée immédiatement au TMI estimé. La fiscalité de sortie (rente/capital) est différée et non modélisée ici.</t>
        </is>
      </c>
    </row>
    <row r="33" ht="18" customHeight="1">
      <c r="B33" s="142" t="inlineStr">
        <is>
          <t>• Dividendes au PFU 30 % : pas de cotisations sociales sur les sociétés à l'IS, hors cas TNS gérant majoritaire (cf. module dédié).</t>
        </is>
      </c>
    </row>
    <row r="34" ht="18" customHeight="1">
      <c r="B34" s="142" t="inlineStr">
        <is>
          <t>• Avantages en nature : forfait simplifié - adapter à la valeur réelle (véhicule, logement, NTIC) selon arrêté du 25/12/2002.</t>
        </is>
      </c>
    </row>
    <row r="35" ht="18" customHeight="1">
      <c r="B35" s="142" t="inlineStr">
        <is>
          <t>• Cashback : assimilé à un transfert net non chargé. Le ratio rapporte le net au coût société effectif (souvent nul ou minime côté employeur).</t>
        </is>
      </c>
    </row>
    <row r="36" ht="18" customHeight="1">
      <c r="B36" s="142" t="inlineStr">
        <is>
          <t>• Le taux marginal d'imposition (TMI) est estimé sur le seul revenu courant - les modules détaillés affinent par foyer.</t>
        </is>
      </c>
    </row>
    <row r="38" ht="15" customHeight="1">
      <c r="A38" s="134" t="inlineStr">
        <is>
          <t>Outil indicatif à usage professionnel - ne se substitue pas à un conseil personnalisé. Paramètres fiscaux à mettre à jour annuellement (cf. feuille « 13. Sources »).</t>
        </is>
      </c>
    </row>
  </sheetData>
  <mergeCells count="17">
    <mergeCell ref="B33:J33"/>
    <mergeCell ref="A38:O38"/>
    <mergeCell ref="A1:G1"/>
    <mergeCell ref="B34:J34"/>
    <mergeCell ref="D9:J9"/>
    <mergeCell ref="B36:J36"/>
    <mergeCell ref="D7:J7"/>
    <mergeCell ref="D8:J8"/>
    <mergeCell ref="D6:J6"/>
    <mergeCell ref="B12:N12"/>
    <mergeCell ref="B31:J31"/>
    <mergeCell ref="A2:G2"/>
    <mergeCell ref="B32:J32"/>
    <mergeCell ref="D10:J10"/>
    <mergeCell ref="B4:J4"/>
    <mergeCell ref="B35:J35"/>
    <mergeCell ref="D5:J5"/>
  </mergeCells>
  <hyperlinks>
    <hyperlink ref="O1" location="'1. Garde'!A1" display="↩ Retour sommaire"/>
  </hyperlinks>
  <printOptions horizontalCentered="1"/>
  <pageMargins left="0.5" right="0.5" top="0.6" bottom="0.6" header="0.3" footer="0.3"/>
  <pageSetup orientation="landscape"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7.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20"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7.  Module - Assimilé salarié</t>
        </is>
      </c>
      <c r="H1" s="9" t="inlineStr">
        <is>
          <t>↩ Retour sommaire</t>
        </is>
      </c>
    </row>
    <row r="2" ht="19.5" customHeight="1">
      <c r="A2" s="136" t="inlineStr">
        <is>
          <t>Président SAS/SASU, gérant minoritaire de SARL, président SELAS - régime général sécurité sociale.</t>
        </is>
      </c>
    </row>
    <row r="4" ht="21.75" customHeight="1">
      <c r="B4" s="133" t="inlineStr">
        <is>
          <t>1. INPUTS</t>
        </is>
      </c>
    </row>
    <row r="5">
      <c r="B5" s="30" t="inlineStr">
        <is>
          <t>Salaire brut annuel (€)</t>
        </is>
      </c>
      <c r="C5" s="188" t="n">
        <v>80000</v>
      </c>
      <c r="E5" s="142" t="inlineStr">
        <is>
          <t>Saisir le brut annuel souhaité pour le dirigeant.</t>
        </is>
      </c>
    </row>
    <row r="6">
      <c r="B6" s="30" t="inlineStr">
        <is>
          <t>Avantages en nature inclus dans le brut (€)</t>
        </is>
      </c>
      <c r="C6" s="188" t="n">
        <v>0</v>
      </c>
      <c r="E6" s="142" t="inlineStr">
        <is>
          <t>Véhicule, logement, NTIC… ajoutés au brut social et fiscal.</t>
        </is>
      </c>
    </row>
    <row r="7">
      <c r="B7" s="30" t="inlineStr">
        <is>
          <t>Brut social total (€)</t>
        </is>
      </c>
      <c r="C7" s="185">
        <f>C5+C6</f>
        <v/>
      </c>
      <c r="E7" s="142" t="inlineStr">
        <is>
          <t>Assiette des cotisations.</t>
        </is>
      </c>
    </row>
    <row r="9" ht="21.75" customHeight="1">
      <c r="B9" s="133" t="inlineStr">
        <is>
          <t>2. COTISATIONS SALARIALES</t>
        </is>
      </c>
    </row>
    <row r="10">
      <c r="B10" s="30" t="inlineStr">
        <is>
          <t>CSG/CRDS - assiette (98,25 % du brut social)</t>
        </is>
      </c>
      <c r="C10" s="185">
        <f>C7*ASSIETTE_CSG_SAL</f>
        <v/>
      </c>
      <c r="E10" s="142" t="inlineStr">
        <is>
          <t>CSS art. L.136-2 - abattement 1,75 % pour ≤ 4 PASS.</t>
        </is>
      </c>
    </row>
    <row r="11">
      <c r="B11" s="30" t="inlineStr">
        <is>
          <t>CSG déductible (6,80 %)</t>
        </is>
      </c>
      <c r="C11" s="185">
        <f>C10*0.068</f>
        <v/>
      </c>
      <c r="E11" s="142" t="inlineStr">
        <is>
          <t>Déductible du revenu imposable.</t>
        </is>
      </c>
    </row>
    <row r="12">
      <c r="B12" s="30" t="inlineStr">
        <is>
          <t>CSG non déductible + CRDS (2,90 %)</t>
        </is>
      </c>
      <c r="C12" s="185">
        <f>C10*0.029</f>
        <v/>
      </c>
      <c r="E12" s="142" t="inlineStr">
        <is>
          <t>Non déductibles - réintégrées au revenu imposable.</t>
        </is>
      </c>
    </row>
    <row r="13">
      <c r="B13" s="30" t="inlineStr">
        <is>
          <t>Cotisations salariales hors CSG/CRDS</t>
        </is>
      </c>
      <c r="C13" s="190">
        <f>C7*TX_SALARIAL</f>
        <v/>
      </c>
      <c r="E13" s="142" t="inlineStr">
        <is>
          <t>Retraite, prévoyance - taux moyen paramétrable.</t>
        </is>
      </c>
    </row>
    <row r="14">
      <c r="B14" s="30" t="inlineStr">
        <is>
          <t>Total prélèvements salariaux</t>
        </is>
      </c>
      <c r="C14" s="196">
        <f>C11+C12+C13</f>
        <v/>
      </c>
    </row>
    <row r="15">
      <c r="B15" s="30" t="inlineStr">
        <is>
          <t>Net après cotisations sociales</t>
        </is>
      </c>
      <c r="C15" s="196">
        <f>C7-C14</f>
        <v/>
      </c>
      <c r="E15" s="142" t="inlineStr">
        <is>
          <t>Avant impôt sur le revenu.</t>
        </is>
      </c>
    </row>
    <row r="17" ht="21.75" customHeight="1">
      <c r="B17" s="133" t="inlineStr">
        <is>
          <t>3. IMPÔT SUR LE REVENU</t>
        </is>
      </c>
    </row>
    <row r="18">
      <c r="B18" s="30" t="inlineStr">
        <is>
          <t>Revenu salarial imposable (brut − cotis − CSG déd.)</t>
        </is>
      </c>
      <c r="C18" s="185">
        <f>C15+C12</f>
        <v/>
      </c>
      <c r="E18" s="142" t="inlineStr">
        <is>
          <t>Net après cotisations + CSG non déd. + CRDS (réintégrée fiscalement).</t>
        </is>
      </c>
    </row>
    <row r="19">
      <c r="B19" s="30" t="inlineStr">
        <is>
          <t>Abattement 10 % frais professionnels (plafonné)</t>
        </is>
      </c>
      <c r="C19" s="185">
        <f>MIN(C18*0.1,14426)</f>
        <v/>
      </c>
      <c r="E19" s="142" t="inlineStr">
        <is>
          <t>CGI art. 83 - plancher 504 €, plafond 14 426 € (LF 2026 art. 4).</t>
        </is>
      </c>
    </row>
    <row r="20">
      <c r="B20" s="30" t="inlineStr">
        <is>
          <t>Revenu imposable net (€)</t>
        </is>
      </c>
      <c r="C20" s="196">
        <f>MAX(0,C18-C19)</f>
        <v/>
      </c>
    </row>
    <row r="21">
      <c r="B21" s="30" t="inlineStr">
        <is>
          <t>Revenu imposable foyer (avec autres revenus)</t>
        </is>
      </c>
      <c r="C21" s="190">
        <f>C20+AUTRES_REV</f>
        <v/>
      </c>
    </row>
    <row r="22">
      <c r="B22" s="30" t="inlineStr">
        <is>
          <t>Revenu imposable par part</t>
        </is>
      </c>
      <c r="C22" s="185">
        <f>C21/PARTS</f>
        <v/>
      </c>
    </row>
    <row r="23">
      <c r="B23" s="30" t="inlineStr">
        <is>
          <t>IR par part (barème)</t>
        </is>
      </c>
      <c r="C23" s="185">
        <f>IF(C22&lt;=IR_PLAFOND_T1,0,IF(C22&lt;=IR_PLAFOND_T2,(C22-IR_PLAFOND_T1)*IR_TAUX_T2,IF(C22&lt;=IR_PLAFOND_T3,(C22-IR_PLAFOND_T2)*IR_TAUX_T3+(IR_PLAFOND_T2-IR_PLAFOND_T1)*IR_TAUX_T2,IF(C22&lt;=IR_PLAFOND_T4,(C22-IR_PLAFOND_T3)*IR_TAUX_T4+(IR_PLAFOND_T3-IR_PLAFOND_T2)*IR_TAUX_T3+(IR_PLAFOND_T2-IR_PLAFOND_T1)*IR_TAUX_T2,(C22-IR_PLAFOND_T4)*IR_TAUX_T5+(IR_PLAFOND_T4-IR_PLAFOND_T3)*IR_TAUX_T4+(IR_PLAFOND_T3-IR_PLAFOND_T2)*IR_TAUX_T3+(IR_PLAFOND_T2-IR_PLAFOND_T1)*IR_TAUX_T2))))</f>
        <v/>
      </c>
    </row>
    <row r="24">
      <c r="B24" s="30" t="inlineStr">
        <is>
          <t>IR du foyer avec QF (avant plafond)</t>
        </is>
      </c>
      <c r="C24" s="185">
        <f>C23*PARTS</f>
        <v/>
      </c>
    </row>
    <row r="25">
      <c r="B25" s="30" t="inlineStr">
        <is>
          <t>IR sans QF (référence)</t>
        </is>
      </c>
      <c r="C25" s="185">
        <f>(IF((C21)/(IF(SITUATION="Marié / pacsé",2,1))&lt;=IR_PLAFOND_T1,0,IF((C21)/(IF(SITUATION="Marié / pacsé",2,1))&lt;=IR_PLAFOND_T2,((C21)/(IF(SITUATION="Marié / pacsé",2,1))-IR_PLAFOND_T1)*IR_TAUX_T2,IF((C21)/(IF(SITUATION="Marié / pacsé",2,1))&lt;=IR_PLAFOND_T3,((C21)/(IF(SITUATION="Marié / pacsé",2,1))-IR_PLAFOND_T2)*IR_TAUX_T3+(IR_PLAFOND_T2-IR_PLAFOND_T1)*IR_TAUX_T2,IF((C21)/(IF(SITUATION="Marié / pacsé",2,1))&lt;=IR_PLAFOND_T4,((C21)/(IF(SITUATION="Marié / pacsé",2,1))-IR_PLAFOND_T3)*IR_TAUX_T4+(IR_PLAFOND_T3-IR_PLAFOND_T2)*IR_TAUX_T3+(IR_PLAFOND_T2-IR_PLAFOND_T1)*IR_TAUX_T2,((C21)/(IF(SITUATION="Marié / pacsé",2,1))-IR_PLAFOND_T4)*IR_TAUX_T5+(IR_PLAFOND_T4-IR_PLAFOND_T3)*IR_TAUX_T4+(IR_PLAFOND_T3-IR_PLAFOND_T2)*IR_TAUX_T3+(IR_PLAFOND_T2-IR_PLAFOND_T1)*IR_TAUX_T2)))))*(IF(SITUATION="Marié / pacsé",2,1))</f>
        <v/>
      </c>
      <c r="E25" s="142" t="inlineStr">
        <is>
          <t>Calculé en supposant la situation de base (1 part célib / 2 parts marié).</t>
        </is>
      </c>
    </row>
    <row r="26">
      <c r="B26" s="30" t="inlineStr">
        <is>
          <t>Plafonnement QF (excédent réintégré)</t>
        </is>
      </c>
      <c r="C26" s="185">
        <f>MAX(0,((C25)-(C24))-(IFERROR(IF(SITUATION_PART="Parent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E26" s="142" t="inlineStr">
        <is>
          <t>Cap 1 791 €/demi-part excédentaire (CGI art. 197, I-2°).</t>
        </is>
      </c>
    </row>
    <row r="27">
      <c r="B27" s="30" t="inlineStr">
        <is>
          <t>IR du foyer après plafonnement QF</t>
        </is>
      </c>
      <c r="C27" s="196">
        <f>C24+C26</f>
        <v/>
      </c>
    </row>
    <row r="28" ht="23.25" customHeight="1">
      <c r="B28" s="30" t="inlineStr">
        <is>
          <t>RFR élargi (revenu imposable + dividendes PFU)</t>
        </is>
      </c>
      <c r="C28" s="185">
        <f>C21+DIVIDENDES_FOYER</f>
        <v/>
      </c>
      <c r="E28" s="142" t="inlineStr">
        <is>
          <t>Inclut les dividendes au PFU saisis en Profil §3 - assiette commune CEHR + CDHR (CGI art. 223 sexies et 224).</t>
        </is>
      </c>
    </row>
    <row r="29">
      <c r="B29" s="30" t="inlineStr">
        <is>
          <t>CEHR (contribution exceptionnelle hauts revenus)</t>
        </is>
      </c>
      <c r="C29" s="185">
        <f>IF(SITUATION="Marié / pacsé",IF(C28&lt;=CEHR_SEUIL_M1,0,IF(C28&lt;=CEHR_SEUIL_M2,(C28-CEHR_SEUIL_M1)*CEHR_TX_1,(CEHR_SEUIL_M2-CEHR_SEUIL_M1)*CEHR_TX_1+(C28-CEHR_SEUIL_M2)*CEHR_TX_2)),IF(C28&lt;=CEHR_SEUIL_C1,0,IF(C28&lt;=CEHR_SEUIL_C2,(C28-CEHR_SEUIL_C1)*CEHR_TX_1,(CEHR_SEUIL_C2-CEHR_SEUIL_C1)*CEHR_TX_1+(C28-CEHR_SEUIL_C2)*CEHR_TX_2)))</f>
        <v/>
      </c>
      <c r="E29" s="142" t="inlineStr">
        <is>
          <t>CGI art. 223 sexies - assise sur le RFR élargi (incluant les dividendes au PFU).</t>
        </is>
      </c>
    </row>
    <row r="30">
      <c r="B30" s="30" t="inlineStr">
        <is>
          <t>IR forfaitaire sur dividendes (PFU 12,8 %)</t>
        </is>
      </c>
      <c r="C30" s="185">
        <f>DIVIDENDES_FOYER*0.128</f>
        <v/>
      </c>
      <c r="E30" s="142" t="inlineStr">
        <is>
          <t>Part IR du PFU. Compte dans le numérateur du plancher 20 % de la CDHR.</t>
        </is>
      </c>
    </row>
    <row r="31" ht="34.9" customHeight="1">
      <c r="B31" s="30" t="inlineStr">
        <is>
          <t>CDHR (contribution différentielle hauts revenus)</t>
        </is>
      </c>
      <c r="C31" s="185">
        <f>IF(C28&lt;=IF(SITUATION="Marié / pacsé",CDHR_SEUIL_M,CDHR_SEUIL_C),0,(MAX(0,CDHR_TAUX_PLANCHER*C28-(((C27+C30))+(C29))))*(MIN(1,MAX(0,(C28-(IF(SITUATION="Marié / pacsé",CDHR_SEUIL_M,CDHR_SEUIL_C)))/((IF(SITUATION="Marié / pacsé",CDHR_SEUIL_M_HAUT,CDHR_SEUIL_C_HAUT))-(IF(SITUATION="Marié / pacsé",CDHR_SEUIL_M,CDHR_SEUIL_C)))))))</f>
        <v/>
      </c>
      <c r="E31" s="142" t="inlineStr">
        <is>
          <t>CGI art. 224 - LF 2025 art. 10, pérennisée LF 2026 art. 2. Plancher 20 % d'impôt effectif sur RFR &gt; 250 k€ (célib) / 500 k€ (couple). Modélisation simplifiée - sans lissage ni retraitement revenus exceptionnels.</t>
        </is>
      </c>
    </row>
    <row r="32">
      <c r="B32" s="30" t="inlineStr">
        <is>
          <t>Total impôts foyer (IR + CEHR + CDHR)</t>
        </is>
      </c>
      <c r="C32" s="196">
        <f>C27+C29+C31</f>
        <v/>
      </c>
      <c r="E32" s="142" t="inlineStr">
        <is>
          <t>Hors IR PFU sur dividendes - celui-ci reste imputé au foyer hors enveloppe arbitrage.</t>
        </is>
      </c>
    </row>
    <row r="33" ht="23.25" customHeight="1">
      <c r="B33" s="30" t="inlineStr">
        <is>
          <t>Taux moyen IR foyer (IR + CEHR + CDHR) / Revenu imposable</t>
        </is>
      </c>
      <c r="C33" s="185">
        <f>IFERROR(C32/C21,0)</f>
        <v/>
      </c>
      <c r="E33" s="142" t="inlineStr">
        <is>
          <t>Taux moyen effectif - réutilisé en Arbitrage pour aligner le calcul du net salarial sur le module sélectionné.</t>
        </is>
      </c>
    </row>
    <row r="34">
      <c r="B34" s="30" t="inlineStr">
        <is>
          <t>Impôts imputables à la rémunération (prorata)</t>
        </is>
      </c>
      <c r="C34" s="185">
        <f>C32*IFERROR(C20/C21,0)</f>
        <v/>
      </c>
      <c r="E34" s="142" t="inlineStr">
        <is>
          <t>IR + CEHR + CDHR imputés à la rémunération du dirigeant au prorata.</t>
        </is>
      </c>
    </row>
    <row r="36" ht="21.75" customHeight="1">
      <c r="B36" s="133" t="inlineStr">
        <is>
          <t>4. NET DIRIGEANT APRÈS IMPÔTS</t>
        </is>
      </c>
    </row>
    <row r="37">
      <c r="B37" s="30" t="inlineStr">
        <is>
          <t>Net après cotisations sociales</t>
        </is>
      </c>
      <c r="C37" s="185">
        <f>C15</f>
        <v/>
      </c>
    </row>
    <row r="38">
      <c r="B38" s="30" t="inlineStr">
        <is>
          <t>(–) Impôts imputables (IR + CEHR + CDHR)</t>
        </is>
      </c>
      <c r="C38" s="185">
        <f>C34</f>
        <v/>
      </c>
    </row>
    <row r="39">
      <c r="B39" s="30" t="inlineStr">
        <is>
          <t>Net dirigeant après impôts (€)</t>
        </is>
      </c>
      <c r="C39" s="196">
        <f>C15-C34</f>
        <v/>
      </c>
      <c r="E39" s="142" t="inlineStr">
        <is>
          <t>Pouvoir d'achat net annuel du dirigeant, après IR (avec QF cappé), CEHR et CDHR.</t>
        </is>
      </c>
    </row>
    <row r="41" ht="21.75" customHeight="1">
      <c r="B41" s="133" t="inlineStr">
        <is>
          <t>5. COÛT EMPLOYEUR</t>
        </is>
      </c>
    </row>
    <row r="42">
      <c r="B42" s="30" t="inlineStr">
        <is>
          <t>Cotisations patronales</t>
        </is>
      </c>
      <c r="C42" s="190">
        <f>C7*TX_PATRONAL</f>
        <v/>
      </c>
      <c r="E42" s="142" t="inlineStr">
        <is>
          <t>Taux moyen paramétrable. Hors réduction Fillon (dirigeant non éligible).</t>
        </is>
      </c>
    </row>
    <row r="43">
      <c r="B43" s="30" t="inlineStr">
        <is>
          <t>Coût employeur total (€)</t>
        </is>
      </c>
      <c r="C43" s="196">
        <f>C7+C42</f>
        <v/>
      </c>
    </row>
    <row r="44">
      <c r="B44" s="30" t="inlineStr">
        <is>
          <t>Ratio net dirigeant / coût employeur</t>
        </is>
      </c>
      <c r="C44" s="197">
        <f>IFERROR(C39/C43,0)</f>
        <v/>
      </c>
      <c r="E44" s="142" t="inlineStr">
        <is>
          <t>Indicateur clé : combien de € de net pour 100 € de coût total.</t>
        </is>
      </c>
    </row>
    <row r="46" ht="21.75" customHeight="1">
      <c r="B46" s="133" t="inlineStr">
        <is>
          <t>6. ALTERNATIVE - DIVIDENDES (PFU 30 %)</t>
        </is>
      </c>
    </row>
    <row r="47">
      <c r="B47" s="30" t="inlineStr">
        <is>
          <t>Dividendes bruts envisagés (€)</t>
        </is>
      </c>
      <c r="C47" s="188" t="n">
        <v>50000</v>
      </c>
      <c r="E47" s="142" t="inlineStr">
        <is>
          <t>Dividendes distribués (avant PFU).</t>
        </is>
      </c>
    </row>
    <row r="48">
      <c r="B48" s="30" t="inlineStr">
        <is>
          <t>Bénéfice avant IS nécessaire</t>
        </is>
      </c>
      <c r="C48" s="185">
        <f>C47/(1-TX_IS_NORMAL)</f>
        <v/>
      </c>
      <c r="E48" s="142" t="inlineStr">
        <is>
          <t>Coût pour la société : il faut consommer ce bénéfice avant IS pour distribuer.</t>
        </is>
      </c>
    </row>
    <row r="49">
      <c r="B49" s="30" t="inlineStr">
        <is>
          <t>PFU 30 % (12,8 % IR + 17,2 % PS)</t>
        </is>
      </c>
      <c r="C49" s="190">
        <f>C47*TX_PFU</f>
        <v/>
      </c>
    </row>
    <row r="50">
      <c r="B50" s="30" t="inlineStr">
        <is>
          <t>Net dividendes après PFU (€)</t>
        </is>
      </c>
      <c r="C50" s="196">
        <f>C47*(1-TX_PFU)</f>
        <v/>
      </c>
    </row>
    <row r="52" ht="15" customHeight="1">
      <c r="A52" s="134" t="inlineStr">
        <is>
          <t>Outil indicatif à usage professionnel - ne se substitue pas à un conseil personnalisé. Paramètres fiscaux à mettre à jour annuellement (cf. feuille « 13. Sources »).</t>
        </is>
      </c>
    </row>
  </sheetData>
  <mergeCells count="9">
    <mergeCell ref="B17:E17"/>
    <mergeCell ref="B41:E41"/>
    <mergeCell ref="B9:E9"/>
    <mergeCell ref="A1:G1"/>
    <mergeCell ref="B4:E4"/>
    <mergeCell ref="A52:H52"/>
    <mergeCell ref="A2:G2"/>
    <mergeCell ref="B46:E46"/>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3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8.  Module - Travailleur non-salarié (TNS)</t>
        </is>
      </c>
      <c r="H1" s="9" t="inlineStr">
        <is>
          <t>↩ Retour sommaire</t>
        </is>
      </c>
    </row>
    <row r="2" ht="19.5" customHeight="1">
      <c r="A2" s="136" t="inlineStr">
        <is>
          <t>Gérant majoritaire SARL/EURL, EI, EI à l'IS - régime social des indépendants (URSSAF + RCI/CIPAV).</t>
        </is>
      </c>
    </row>
    <row r="4" ht="21.75" customHeight="1">
      <c r="B4" s="133" t="inlineStr">
        <is>
          <t>1. INPUTS</t>
        </is>
      </c>
    </row>
    <row r="5">
      <c r="B5" s="30" t="inlineStr">
        <is>
          <t>Rémunération nette annuelle souhaitée (€)</t>
        </is>
      </c>
      <c r="C5" s="188" t="n">
        <v>70000</v>
      </c>
      <c r="E5" s="142" t="inlineStr">
        <is>
          <t>Revenu net déclaré (après cotisations TNS, avant IR). Base de calcul des cotisations.</t>
        </is>
      </c>
    </row>
    <row r="6">
      <c r="B6" s="30" t="inlineStr">
        <is>
          <t>Frais réels professionnels (€)</t>
        </is>
      </c>
      <c r="C6" s="188" t="n">
        <v>0</v>
      </c>
      <c r="E6" s="142" t="inlineStr">
        <is>
          <t>Frais déductibles BIC ou rémunération nette. 0 par défaut.</t>
        </is>
      </c>
    </row>
    <row r="8" ht="21.75" customHeight="1">
      <c r="B8" s="133" t="inlineStr">
        <is>
          <t>2. COTISATIONS TNS</t>
        </is>
      </c>
    </row>
    <row r="9">
      <c r="B9" s="30" t="inlineStr">
        <is>
          <t>Taux global TNS (paramétrable)</t>
        </is>
      </c>
      <c r="C9" s="192">
        <f>TX_TNS</f>
        <v/>
      </c>
      <c r="E9" s="142" t="inlineStr">
        <is>
          <t>Taux moyen sur le revenu net - variable selon revenu (cf. feuille « 4. Paramètres »).</t>
        </is>
      </c>
    </row>
    <row r="10">
      <c r="B10" s="30" t="inlineStr">
        <is>
          <t>Cotisations TNS totales</t>
        </is>
      </c>
      <c r="C10" s="185">
        <f>C5*C9</f>
        <v/>
      </c>
      <c r="E10" s="142" t="inlineStr">
        <is>
          <t>URSSAF (maladie, AF, CSG/CRDS) + retraite + invalidité.</t>
        </is>
      </c>
    </row>
    <row r="11">
      <c r="B11" s="30" t="inlineStr">
        <is>
          <t>Dont CSG déductible (6,80 % du net + cot.)</t>
        </is>
      </c>
      <c r="C11" s="185">
        <f>(C5+C10)*0.068</f>
        <v/>
      </c>
      <c r="E11" s="142" t="inlineStr">
        <is>
          <t>Déductible BIC mais réintégrée fiscalement pour calcul revenu imposable.</t>
        </is>
      </c>
    </row>
    <row r="12">
      <c r="B12" s="30" t="inlineStr">
        <is>
          <t>Dont CSG/CRDS non déductible (2,90 %)</t>
        </is>
      </c>
      <c r="C12" s="185">
        <f>(C5+C10)*0.029</f>
        <v/>
      </c>
    </row>
    <row r="14" ht="21.75" customHeight="1">
      <c r="B14" s="133" t="inlineStr">
        <is>
          <t>3. IMPÔT SUR LE REVENU</t>
        </is>
      </c>
    </row>
    <row r="15">
      <c r="B15" s="30" t="inlineStr">
        <is>
          <t>Revenu net BIC/professionnel</t>
        </is>
      </c>
      <c r="C15" s="185">
        <f>C5-C6</f>
        <v/>
      </c>
    </row>
    <row r="16">
      <c r="B16" s="30" t="inlineStr">
        <is>
          <t>Revenu imposable (réintégration CSG non déd.)</t>
        </is>
      </c>
      <c r="C16" s="185">
        <f>C15+C12</f>
        <v/>
      </c>
    </row>
    <row r="17">
      <c r="B17" s="30" t="inlineStr">
        <is>
          <t>Revenu imposable foyer</t>
        </is>
      </c>
      <c r="C17" s="190">
        <f>C16+AUTRES_REV</f>
        <v/>
      </c>
    </row>
    <row r="18">
      <c r="B18" s="30" t="inlineStr">
        <is>
          <t>Revenu par part</t>
        </is>
      </c>
      <c r="C18" s="185">
        <f>C17/PARTS</f>
        <v/>
      </c>
    </row>
    <row r="19">
      <c r="B19" s="30" t="inlineStr">
        <is>
          <t>IR par part (barème)</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Taux moyen IR foyer (IR + CEHR + CDHR) / Revenu imposable</t>
        </is>
      </c>
      <c r="C29" s="185">
        <f>IFERROR(C28/C17,0)</f>
        <v/>
      </c>
    </row>
    <row r="30">
      <c r="B30" s="30" t="inlineStr">
        <is>
          <t>Taux moyen IR foyer (IR + CEHR + CDHR) / Revenu imposable</t>
        </is>
      </c>
      <c r="C30" s="185">
        <f>IFERROR(C29/C17,0)</f>
        <v/>
      </c>
    </row>
    <row r="31">
      <c r="B31" s="30" t="inlineStr">
        <is>
          <t>Taux moyen IR foyer (IR + CEHR + CDHR) / Revenu imposable</t>
        </is>
      </c>
      <c r="C31" s="185">
        <f>IFERROR(C30/C17,0)</f>
        <v/>
      </c>
    </row>
    <row r="32">
      <c r="B32" s="30" t="inlineStr">
        <is>
          <t>Impôts imputables à la rémunération (prorata)</t>
        </is>
      </c>
      <c r="C32" s="185">
        <f>C31*IFERROR(C16/C17,0)</f>
        <v/>
      </c>
    </row>
    <row r="34" ht="21.75" customHeight="1">
      <c r="B34" s="133" t="inlineStr">
        <is>
          <t>4. NET TNS APRÈS IR</t>
        </is>
      </c>
    </row>
    <row r="35">
      <c r="B35" s="30" t="inlineStr">
        <is>
          <t>Net dirigeant après IR (€)</t>
        </is>
      </c>
      <c r="C35" s="196">
        <f>C5-C32</f>
        <v/>
      </c>
      <c r="E35" s="142" t="inlineStr">
        <is>
          <t>Pouvoir d'achat net annuel du TNS.</t>
        </is>
      </c>
    </row>
    <row r="37" ht="21.75" customHeight="1">
      <c r="B37" s="133" t="inlineStr">
        <is>
          <t>5. COÛT POUR LA SOCIÉTÉ</t>
        </is>
      </c>
    </row>
    <row r="38">
      <c r="B38" s="30" t="inlineStr">
        <is>
          <t>Coût total (rém. + cotisations TNS) (€)</t>
        </is>
      </c>
      <c r="C38" s="196">
        <f>C5+C10</f>
        <v/>
      </c>
    </row>
    <row r="39">
      <c r="B39" s="30" t="inlineStr">
        <is>
          <t>Ratio net dirigeant / coût total</t>
        </is>
      </c>
      <c r="C39" s="197">
        <f>IFERROR(C35/C38,0)</f>
        <v/>
      </c>
    </row>
    <row r="41" ht="21.75" customHeight="1">
      <c r="B41" s="133" t="inlineStr">
        <is>
          <t>6. DIVIDENDES - SPÉCIFICITÉ TNS GÉRANT MAJORITAIRE</t>
        </is>
      </c>
    </row>
    <row r="42">
      <c r="B42" s="30" t="inlineStr">
        <is>
          <t>Capital social + primes + CC associé (€)</t>
        </is>
      </c>
      <c r="C42" s="188" t="n">
        <v>100000</v>
      </c>
      <c r="E42" s="142" t="inlineStr">
        <is>
          <t>Base de calcul du seuil 10 % au-delà duquel les dividendes sont soumis cotisations TNS.</t>
        </is>
      </c>
    </row>
    <row r="43">
      <c r="B43" s="30" t="inlineStr">
        <is>
          <t>Seuil 10 % (€)</t>
        </is>
      </c>
      <c r="C43" s="190">
        <f>C42*SEUIL_DIV_TNS</f>
        <v/>
      </c>
      <c r="E43" s="142" t="inlineStr">
        <is>
          <t>CSS art. L.131-6, 3°.</t>
        </is>
      </c>
    </row>
    <row r="44">
      <c r="B44" s="30" t="inlineStr">
        <is>
          <t>Dividendes bruts envisagés (€)</t>
        </is>
      </c>
      <c r="C44" s="188" t="n">
        <v>50000</v>
      </c>
    </row>
    <row r="45">
      <c r="B45" s="30" t="inlineStr">
        <is>
          <t>Fraction soumise cotisations TNS</t>
        </is>
      </c>
      <c r="C45" s="185">
        <f>MAX(0,C44-C43)</f>
        <v/>
      </c>
      <c r="E45" s="142" t="inlineStr">
        <is>
          <t>Excédent au-delà du seuil - soumis cotisations TNS.</t>
        </is>
      </c>
    </row>
    <row r="46">
      <c r="B46" s="30" t="inlineStr">
        <is>
          <t>Cotisations TNS sur dividendes</t>
        </is>
      </c>
      <c r="C46" s="185">
        <f>C45*C9</f>
        <v/>
      </c>
    </row>
    <row r="47">
      <c r="B47" s="30" t="inlineStr">
        <is>
          <t>Fraction soumise PFU 30 %</t>
        </is>
      </c>
      <c r="C47" s="185">
        <f>C44-C45</f>
        <v/>
      </c>
    </row>
    <row r="48">
      <c r="B48" s="30" t="inlineStr">
        <is>
          <t>PFU sur fraction PFU</t>
        </is>
      </c>
      <c r="C48" s="185">
        <f>C47*TX_PFU</f>
        <v/>
      </c>
    </row>
    <row r="49">
      <c r="B49" s="30" t="inlineStr">
        <is>
          <t>IR sur fraction cotisations TNS (TMI estimé)</t>
        </is>
      </c>
      <c r="C49" s="185">
        <f>C45*IF(C18&lt;=IR_PLAFOND_T1,0,IF(C18&lt;=IR_PLAFOND_T2,IR_TAUX_T2,IF(C18&lt;=IR_PLAFOND_T3,IR_TAUX_T3,IF(C18&lt;=IR_PLAFOND_T4,IR_TAUX_T4,IR_TAUX_T5))))</f>
        <v/>
      </c>
      <c r="E49" s="142" t="inlineStr">
        <is>
          <t>La fraction soumise cotisations TNS est imposée à l'IR au barème (et non au PFU).</t>
        </is>
      </c>
    </row>
    <row r="50">
      <c r="B50" s="30" t="inlineStr">
        <is>
          <t>Net dividendes (€)</t>
        </is>
      </c>
      <c r="C50" s="196">
        <f>C44-C46-C48-C49</f>
        <v/>
      </c>
    </row>
    <row r="52" ht="15" customHeight="1">
      <c r="A52" s="134" t="inlineStr">
        <is>
          <t>Outil indicatif à usage professionnel - ne se substitue pas à un conseil personnalisé. Paramètres fiscaux à mettre à jour annuellement (cf. feuille « 13. Sources »).</t>
        </is>
      </c>
    </row>
  </sheetData>
  <mergeCells count="9">
    <mergeCell ref="B41:E41"/>
    <mergeCell ref="B8:E8"/>
    <mergeCell ref="A1:G1"/>
    <mergeCell ref="B4:E4"/>
    <mergeCell ref="A52:H52"/>
    <mergeCell ref="A2:G2"/>
    <mergeCell ref="B37:E37"/>
    <mergeCell ref="B14:E14"/>
    <mergeCell ref="B34:E34"/>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1F3864"/>
    <outlinePr summaryBelow="1" summaryRight="1"/>
    <pageSetUpPr/>
  </sheetPr>
  <dimension ref="A1:H41"/>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9.  Module - Profession libérale</t>
        </is>
      </c>
      <c r="H1" s="9" t="inlineStr">
        <is>
          <t>↩ Retour sommaire</t>
        </is>
      </c>
    </row>
    <row r="2" ht="19.5" customHeight="1">
      <c r="A2" s="136" t="inlineStr">
        <is>
          <t>BNC (médecin, avocat, consultant…) ou SEL (SELARL/SELAS) - régimes spécifiques.</t>
        </is>
      </c>
    </row>
    <row r="4" ht="21.75" customHeight="1">
      <c r="B4" s="133" t="inlineStr">
        <is>
          <t>1. SCÉNARIO BNC (exercice individuel)</t>
        </is>
      </c>
    </row>
    <row r="5">
      <c r="B5" s="30" t="inlineStr">
        <is>
          <t>Recettes annuelles (€)</t>
        </is>
      </c>
      <c r="C5" s="188" t="n">
        <v>150000</v>
      </c>
    </row>
    <row r="6">
      <c r="B6" s="30" t="inlineStr">
        <is>
          <t>Frais professionnels déductibles (€)</t>
        </is>
      </c>
      <c r="C6" s="188" t="n">
        <v>30000</v>
      </c>
      <c r="E6" s="142" t="inlineStr">
        <is>
          <t>Loyer cabinet, secrétariat, matériel, charges sociales déjà payées en N-1, etc.</t>
        </is>
      </c>
    </row>
    <row r="7">
      <c r="B7" s="30" t="inlineStr">
        <is>
          <t>Bénéfice BNC</t>
        </is>
      </c>
      <c r="C7" s="185">
        <f>C5-C6</f>
        <v/>
      </c>
    </row>
    <row r="8" ht="23.25" customHeight="1">
      <c r="B8" s="30" t="inlineStr">
        <is>
          <t>Cotisations URSSAF + caisse de retraite</t>
        </is>
      </c>
      <c r="C8" s="190">
        <f>C7*TX_LIB</f>
        <v/>
      </c>
      <c r="E8" s="142" t="inlineStr">
        <is>
          <t>CIPAV / CARMF / CARPV / CARCDSF / CARPIMKO / CNBF selon profession. TX_LIB est supposé inclure CSG/CRDS totales.</t>
        </is>
      </c>
    </row>
    <row r="9">
      <c r="B9" s="30" t="inlineStr">
        <is>
          <t>Dont CSG/CRDS non déductible (2,90 % du bénéfice)</t>
        </is>
      </c>
      <c r="C9" s="185">
        <f>C7*0.029</f>
        <v/>
      </c>
      <c r="E9" s="142" t="inlineStr">
        <is>
          <t>Réintégrée dans l'assiette IR ci-dessous (CSG non déduc. + CRDS).</t>
        </is>
      </c>
    </row>
    <row r="10">
      <c r="B10" s="30" t="inlineStr">
        <is>
          <t>Bénéfice net après cotisations</t>
        </is>
      </c>
      <c r="C10" s="196">
        <f>C7-C8</f>
        <v/>
      </c>
    </row>
    <row r="11">
      <c r="B11" s="30" t="inlineStr">
        <is>
          <t>Revenu imposable libéral (réintégration CSG non déd.)</t>
        </is>
      </c>
      <c r="C11" s="185">
        <f>C10+C9</f>
        <v/>
      </c>
    </row>
    <row r="12">
      <c r="B12" s="30" t="inlineStr">
        <is>
          <t>Revenu imposable foyer</t>
        </is>
      </c>
      <c r="C12" s="190">
        <f>C11+AUTRES_REV</f>
        <v/>
      </c>
    </row>
    <row r="13">
      <c r="B13" s="30" t="inlineStr">
        <is>
          <t>Revenu par part</t>
        </is>
      </c>
      <c r="C13" s="185">
        <f>C12/PARTS</f>
        <v/>
      </c>
    </row>
    <row r="14">
      <c r="B14" s="30" t="inlineStr">
        <is>
          <t>IR par part</t>
        </is>
      </c>
      <c r="C14" s="185">
        <f>IF(C13&lt;=IR_PLAFOND_T1,0,IF(C13&lt;=IR_PLAFOND_T2,(C13-IR_PLAFOND_T1)*IR_TAUX_T2,IF(C13&lt;=IR_PLAFOND_T3,(C13-IR_PLAFOND_T2)*IR_TAUX_T3+(IR_PLAFOND_T2-IR_PLAFOND_T1)*IR_TAUX_T2,IF(C13&lt;=IR_PLAFOND_T4,(C13-IR_PLAFOND_T3)*IR_TAUX_T4+(IR_PLAFOND_T3-IR_PLAFOND_T2)*IR_TAUX_T3+(IR_PLAFOND_T2-IR_PLAFOND_T1)*IR_TAUX_T2,(C13-IR_PLAFOND_T4)*IR_TAUX_T5+(IR_PLAFOND_T4-IR_PLAFOND_T3)*IR_TAUX_T4+(IR_PLAFOND_T3-IR_PLAFOND_T2)*IR_TAUX_T3+(IR_PLAFOND_T2-IR_PLAFOND_T1)*IR_TAUX_T2))))</f>
        <v/>
      </c>
    </row>
    <row r="15">
      <c r="B15" s="30" t="inlineStr">
        <is>
          <t>IR du foyer avec QF (avant plafond)</t>
        </is>
      </c>
      <c r="C15" s="185">
        <f>C14*PARTS</f>
        <v/>
      </c>
    </row>
    <row r="16">
      <c r="B16" s="30" t="inlineStr">
        <is>
          <t>IR sans QF (référence)</t>
        </is>
      </c>
      <c r="C16" s="185">
        <f>(IF((C12)/(IF(SITUATION="Marié / pacsé",2,1))&lt;=IR_PLAFOND_T1,0,IF((C12)/(IF(SITUATION="Marié / pacsé",2,1))&lt;=IR_PLAFOND_T2,((C12)/(IF(SITUATION="Marié / pacsé",2,1))-IR_PLAFOND_T1)*IR_TAUX_T2,IF((C12)/(IF(SITUATION="Marié / pacsé",2,1))&lt;=IR_PLAFOND_T3,((C12)/(IF(SITUATION="Marié / pacsé",2,1))-IR_PLAFOND_T2)*IR_TAUX_T3+(IR_PLAFOND_T2-IR_PLAFOND_T1)*IR_TAUX_T2,IF((C12)/(IF(SITUATION="Marié / pacsé",2,1))&lt;=IR_PLAFOND_T4,((C12)/(IF(SITUATION="Marié / pacsé",2,1))-IR_PLAFOND_T3)*IR_TAUX_T4+(IR_PLAFOND_T3-IR_PLAFOND_T2)*IR_TAUX_T3+(IR_PLAFOND_T2-IR_PLAFOND_T1)*IR_TAUX_T2,((C12)/(IF(SITUATION="Marié / pacsé",2,1))-IR_PLAFOND_T4)*IR_TAUX_T5+(IR_PLAFOND_T4-IR_PLAFOND_T3)*IR_TAUX_T4+(IR_PLAFOND_T3-IR_PLAFOND_T2)*IR_TAUX_T3+(IR_PLAFOND_T2-IR_PLAFOND_T1)*IR_TAUX_T2)))))*(IF(SITUATION="Marié / pacsé",2,1))</f>
        <v/>
      </c>
    </row>
    <row r="17">
      <c r="B17" s="30" t="inlineStr">
        <is>
          <t>Plafonnement QF (excédent réintégré)</t>
        </is>
      </c>
      <c r="C17" s="185">
        <f>MAX(0,((C16)-(C15))-(IFERROR(IF(SITUATION_PART="Parent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18">
      <c r="B18" s="30" t="inlineStr">
        <is>
          <t>IR du foyer après plafonnement QF</t>
        </is>
      </c>
      <c r="C18" s="196">
        <f>C15+C17</f>
        <v/>
      </c>
    </row>
    <row r="19">
      <c r="B19" s="30" t="inlineStr">
        <is>
          <t>RFR élargi (+ dividendes PFU)</t>
        </is>
      </c>
      <c r="C19" s="185">
        <f>C12+DIVIDENDES_FOYER</f>
        <v/>
      </c>
    </row>
    <row r="20">
      <c r="B20" s="30" t="inlineStr">
        <is>
          <t>CEHR</t>
        </is>
      </c>
      <c r="C20" s="185">
        <f>IF(SITUATION="Marié / pacsé",IF(C19&lt;=CEHR_SEUIL_M1,0,IF(C19&lt;=CEHR_SEUIL_M2,(C19-CEHR_SEUIL_M1)*CEHR_TX_1,(CEHR_SEUIL_M2-CEHR_SEUIL_M1)*CEHR_TX_1+(C19-CEHR_SEUIL_M2)*CEHR_TX_2)),IF(C19&lt;=CEHR_SEUIL_C1,0,IF(C19&lt;=CEHR_SEUIL_C2,(C19-CEHR_SEUIL_C1)*CEHR_TX_1,(CEHR_SEUIL_C2-CEHR_SEUIL_C1)*CEHR_TX_1+(C19-CEHR_SEUIL_C2)*CEHR_TX_2)))</f>
        <v/>
      </c>
    </row>
    <row r="21">
      <c r="B21" s="30" t="inlineStr">
        <is>
          <t>IR forfaitaire sur dividendes (PFU 12,8 %)</t>
        </is>
      </c>
      <c r="C21" s="185">
        <f>DIVIDENDES_FOYER*0.128</f>
        <v/>
      </c>
    </row>
    <row r="22">
      <c r="B22" s="30" t="inlineStr">
        <is>
          <t>CDHR (plancher 20 % impôt effectif)</t>
        </is>
      </c>
      <c r="C22" s="185">
        <f>IF(C19&lt;=IF(SITUATION="Marié / pacsé",CDHR_SEUIL_M,CDHR_SEUIL_C),0,(MAX(0,CDHR_TAUX_PLANCHER*C19-(((C18+C21))+(C20))))*(MIN(1,MAX(0,(C19-(IF(SITUATION="Marié / pacsé",CDHR_SEUIL_M,CDHR_SEUIL_C)))/((IF(SITUATION="Marié / pacsé",CDHR_SEUIL_M_HAUT,CDHR_SEUIL_C_HAUT))-(IF(SITUATION="Marié / pacsé",CDHR_SEUIL_M,CDHR_SEUIL_C)))))))</f>
        <v/>
      </c>
      <c r="E22" s="142" t="inlineStr">
        <is>
          <t>CGI art. 224 - modélisation simplifiée sans lissage. RFR retraité incluant dividendes PFU.</t>
        </is>
      </c>
    </row>
    <row r="23">
      <c r="B23" s="30" t="inlineStr">
        <is>
          <t>Total impôts foyer (IR + CEHR + CDHR)</t>
        </is>
      </c>
      <c r="C23" s="196">
        <f>C18+C20+C22</f>
        <v/>
      </c>
    </row>
    <row r="24">
      <c r="B24" s="30" t="inlineStr">
        <is>
          <t>Impôts imputables à l'activité libérale (prorata)</t>
        </is>
      </c>
      <c r="C24" s="185">
        <f>C23*IFERROR(C11/C12,1)</f>
        <v/>
      </c>
    </row>
    <row r="25">
      <c r="B25" s="30" t="inlineStr">
        <is>
          <t>Net libéral après impôts</t>
        </is>
      </c>
      <c r="C25" s="196">
        <f>C10-C24</f>
        <v/>
      </c>
      <c r="E25" s="142" t="inlineStr">
        <is>
          <t>Pouvoir d'achat net annuel = bénéfice net (cash) − impôts imputables.</t>
        </is>
      </c>
    </row>
    <row r="27" ht="21.75" customHeight="1">
      <c r="B27" s="133" t="inlineStr">
        <is>
          <t>2. SCÉNARIO SEL (SELARL / SELAS) - DOUBLE COUCHE</t>
        </is>
      </c>
    </row>
    <row r="28">
      <c r="B28" s="30" t="inlineStr">
        <is>
          <t>Bénéfice SEL avant rémunération du dirigeant (€)</t>
        </is>
      </c>
      <c r="C28" s="188" t="n">
        <v>200000</v>
      </c>
      <c r="E28" s="142" t="inlineStr">
        <is>
          <t>Avant rémunération du dirigeant et avant IS.</t>
        </is>
      </c>
    </row>
    <row r="29">
      <c r="B29" s="30" t="inlineStr">
        <is>
          <t>Rémunération versée au dirigeant (€)</t>
        </is>
      </c>
      <c r="C29" s="188" t="n">
        <v>80000</v>
      </c>
    </row>
    <row r="30">
      <c r="B30" s="30" t="inlineStr">
        <is>
          <t>Bénéfice imposable IS</t>
        </is>
      </c>
      <c r="C30" s="185">
        <f>MAX(0,C28-C29)</f>
        <v/>
      </c>
    </row>
    <row r="31">
      <c r="B31" s="30" t="inlineStr">
        <is>
          <t>IS dû</t>
        </is>
      </c>
      <c r="C31" s="185">
        <f>MIN(C30,IS_PLAF_REDUIT)*TX_IS_REDUIT+MAX(0,C30-IS_PLAF_REDUIT)*TX_IS_NORMAL</f>
        <v/>
      </c>
      <c r="E31" s="142" t="inlineStr">
        <is>
          <t>Taux réduit 15 % jusqu'à 42 500 € si éligible PME.</t>
        </is>
      </c>
    </row>
    <row r="32">
      <c r="B32" s="30" t="inlineStr">
        <is>
          <t>Résultat net distribuable</t>
        </is>
      </c>
      <c r="C32" s="185">
        <f>C30-C31</f>
        <v/>
      </c>
    </row>
    <row r="33" ht="23.25" customHeight="1">
      <c r="B33" s="30" t="inlineStr">
        <is>
          <t>Dividendes envisagés (€)</t>
        </is>
      </c>
      <c r="C33" s="188">
        <f>C32</f>
        <v/>
      </c>
      <c r="E33" s="142" t="inlineStr">
        <is>
          <t>Modifiable. Par défaut = totalité du résultat net. Pour gérant maj. SELARL : fraction &gt; 10 % capital → cotisations TNS (cf. module TNS).</t>
        </is>
      </c>
    </row>
    <row r="35" ht="21.75" customHeight="1">
      <c r="B35" s="133" t="inlineStr">
        <is>
          <t>3. NOTES - RÉGIMES SPÉCIFIQUES</t>
        </is>
      </c>
    </row>
    <row r="36" ht="21.75" customHeight="1">
      <c r="B36" s="142" t="inlineStr">
        <is>
          <t>• Pour SELARL - gérant majoritaire : régime TNS sur la rémunération + dividendes &gt; 10 % du capital social soumis aux cotisations TNS (cf. module 7).</t>
        </is>
      </c>
    </row>
    <row r="37" ht="21.75" customHeight="1">
      <c r="B37" s="142" t="inlineStr">
        <is>
          <t>• Pour SELAS - président : régime assimilé salarié sur la rémunération ; dividendes au PFU sans cotisations sociales.</t>
        </is>
      </c>
    </row>
    <row r="38" ht="21.75" customHeight="1">
      <c r="B38" s="142" t="inlineStr">
        <is>
          <t>• Les libéraux peuvent opter pour le régime micro-BNC si recettes ≤ 77 700 € (abattement forfaitaire 34 %).</t>
        </is>
      </c>
    </row>
    <row r="39" ht="21.75" customHeight="1">
      <c r="B39" s="142" t="inlineStr">
        <is>
          <t>• Les SEL bénéficient de l'IS taux réduit (15 %) si elles remplissent les critères PME (CGI art. 219, I-b).</t>
        </is>
      </c>
    </row>
    <row r="41" ht="15" customHeight="1">
      <c r="A41" s="134" t="inlineStr">
        <is>
          <t>Outil indicatif à usage professionnel - ne se substitue pas à un conseil personnalisé. Paramètres fiscaux à mettre à jour annuellement (cf. feuille « 13. Sources »).</t>
        </is>
      </c>
    </row>
  </sheetData>
  <mergeCells count="10">
    <mergeCell ref="B27:E27"/>
    <mergeCell ref="A1:G1"/>
    <mergeCell ref="B35:E35"/>
    <mergeCell ref="B4:E4"/>
    <mergeCell ref="B38:E38"/>
    <mergeCell ref="B39:E39"/>
    <mergeCell ref="A2:G2"/>
    <mergeCell ref="A41:H41"/>
    <mergeCell ref="B37:E37"/>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1F3864"/>
    <outlinePr summaryBelow="1" summaryRight="1"/>
    <pageSetUpPr/>
  </sheetPr>
  <dimension ref="A1:H4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10.  Module - Salarié (cadre / non-cadre)</t>
        </is>
      </c>
      <c r="H1" s="9" t="inlineStr">
        <is>
          <t>↩ Retour sommaire</t>
        </is>
      </c>
    </row>
    <row r="2" ht="19.5" customHeight="1">
      <c r="A2" s="136" t="inlineStr">
        <is>
          <t>Salarié sans mandat social - accent sur l'optimisation par accessoires (TR, mutuelle, PEE/PER…).</t>
        </is>
      </c>
    </row>
    <row r="4" ht="21.75" customHeight="1">
      <c r="B4" s="133" t="inlineStr">
        <is>
          <t>1. INPUTS</t>
        </is>
      </c>
    </row>
    <row r="5">
      <c r="B5" s="30" t="inlineStr">
        <is>
          <t>Salaire brut annuel (€)</t>
        </is>
      </c>
      <c r="C5" s="188" t="n">
        <v>60000</v>
      </c>
    </row>
    <row r="7" ht="21.75" customHeight="1">
      <c r="B7" s="133" t="inlineStr">
        <is>
          <t>2. COTISATIONS &amp; NET</t>
        </is>
      </c>
    </row>
    <row r="8">
      <c r="B8" s="30" t="inlineStr">
        <is>
          <t>Cotisations salariales hors CSG/CRDS</t>
        </is>
      </c>
      <c r="C8" s="190">
        <f>C5*TX_SALARIAL</f>
        <v/>
      </c>
    </row>
    <row r="9">
      <c r="B9" s="30" t="inlineStr">
        <is>
          <t>CSG/CRDS (9,7 % × 98,25 %)</t>
        </is>
      </c>
      <c r="C9" s="190">
        <f>C5*ASSIETTE_CSG_SAL*TX_CSG_CRDS_ACT</f>
        <v/>
      </c>
    </row>
    <row r="10">
      <c r="B10" s="30" t="inlineStr">
        <is>
          <t>CSG déductible (6,80 % × 98,25 %)</t>
        </is>
      </c>
      <c r="C10" s="185">
        <f>C5*ASSIETTE_CSG_SAL*0.068</f>
        <v/>
      </c>
    </row>
    <row r="11">
      <c r="B11" s="30" t="inlineStr">
        <is>
          <t>Net avant impôt</t>
        </is>
      </c>
      <c r="C11" s="196">
        <f>C5-C8-C9</f>
        <v/>
      </c>
    </row>
    <row r="13" ht="21.75" customHeight="1">
      <c r="B13" s="133" t="inlineStr">
        <is>
          <t>3. IMPÔT SUR LE REVENU</t>
        </is>
      </c>
    </row>
    <row r="14">
      <c r="B14" s="30" t="inlineStr">
        <is>
          <t>Revenu salarial imposable (brut − cotis − CSG déd.)</t>
        </is>
      </c>
      <c r="C14" s="185">
        <f>C11+C9-C10</f>
        <v/>
      </c>
      <c r="E14" s="142" t="inlineStr">
        <is>
          <t>Net après cotis + CSG/CRDS non déductible (réintégrée dans l'assiette IR).</t>
        </is>
      </c>
    </row>
    <row r="15">
      <c r="B15" s="30" t="inlineStr">
        <is>
          <t>Abattement 10 % (plafond 14 426 €)</t>
        </is>
      </c>
      <c r="C15" s="185">
        <f>MIN(C14*0.1,14426)</f>
        <v/>
      </c>
    </row>
    <row r="16">
      <c r="B16" s="30" t="inlineStr">
        <is>
          <t>Revenu imposable net</t>
        </is>
      </c>
      <c r="C16" s="185">
        <f>MAX(0,C14-C15)</f>
        <v/>
      </c>
    </row>
    <row r="17">
      <c r="B17" s="30" t="inlineStr">
        <is>
          <t>Revenu imposable foyer</t>
        </is>
      </c>
      <c r="C17" s="190">
        <f>C16+AUTRES_REV</f>
        <v/>
      </c>
    </row>
    <row r="18">
      <c r="B18" s="30" t="inlineStr">
        <is>
          <t>Revenu par part</t>
        </is>
      </c>
      <c r="C18" s="185">
        <f>C17/PARTS</f>
        <v/>
      </c>
    </row>
    <row r="19">
      <c r="B19" s="30" t="inlineStr">
        <is>
          <t>IR par part</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Impôts imputables à la rémunération (prorata)</t>
        </is>
      </c>
      <c r="C29" s="185">
        <f>C28*IFERROR(C16/C17,1)</f>
        <v/>
      </c>
    </row>
    <row r="30">
      <c r="B30" s="30" t="inlineStr">
        <is>
          <t>Net après impôts (IR + CEHR + CDHR)</t>
        </is>
      </c>
      <c r="C30" s="196">
        <f>C11-C29</f>
        <v/>
      </c>
    </row>
    <row r="32" ht="21.75" customHeight="1">
      <c r="B32" s="133" t="inlineStr">
        <is>
          <t>4. PISTES D'OPTIMISATION (SALARIÉ)</t>
        </is>
      </c>
    </row>
    <row r="33" ht="21.75" customHeight="1">
      <c r="B33" s="142" t="inlineStr">
        <is>
          <t>• PEE/PER collectif : abondement employeur exo charges sociales (hors CSG/CRDS) jusqu'à 8 % PASS / 16 % PASS.</t>
        </is>
      </c>
    </row>
    <row r="34" ht="21.75" customHeight="1">
      <c r="B34" s="142" t="inlineStr">
        <is>
          <t>• PER individuel : versement déductible jusqu'à 10 % des revenus pro de l'année N-1 (plafond mutualisable conjoint).</t>
        </is>
      </c>
    </row>
    <row r="35" ht="21.75" customHeight="1">
      <c r="B35" s="142" t="inlineStr">
        <is>
          <t>• Tickets restaurant : part employeur exonérée jusqu'à 7,26 €/titre (60 % max).</t>
        </is>
      </c>
    </row>
    <row r="36" ht="21.75" customHeight="1">
      <c r="B36" s="142" t="inlineStr">
        <is>
          <t>• CESU préfinancé : exo jusqu'à 2 540 €/an pour services à la personne.</t>
        </is>
      </c>
    </row>
    <row r="37" ht="21.75" customHeight="1">
      <c r="B37" s="142" t="inlineStr">
        <is>
          <t>• Mutuelle / prévoyance employeur : cotisation patronale exo IR (hors part &gt; seuil).</t>
        </is>
      </c>
    </row>
    <row r="38" ht="21.75" customHeight="1">
      <c r="B38" s="142" t="inlineStr">
        <is>
          <t>• Forfait mobilité durable : exo jusqu'à 700 €/an (vélo, covoiturage, transports en commun cumulables avec abonnement).</t>
        </is>
      </c>
    </row>
    <row r="40" ht="15" customHeight="1">
      <c r="A40" s="134" t="inlineStr">
        <is>
          <t>Outil indicatif à usage professionnel - ne se substitue pas à un conseil personnalisé. Paramètres fiscaux à mettre à jour annuellement (cf. feuille « 13. Sources »).</t>
        </is>
      </c>
    </row>
  </sheetData>
  <mergeCells count="13">
    <mergeCell ref="A1:G1"/>
    <mergeCell ref="B35:E35"/>
    <mergeCell ref="B4:E4"/>
    <mergeCell ref="B13:E13"/>
    <mergeCell ref="B37:E37"/>
    <mergeCell ref="B38:E38"/>
    <mergeCell ref="A40:H40"/>
    <mergeCell ref="B7:E7"/>
    <mergeCell ref="A2:G2"/>
    <mergeCell ref="B33:E33"/>
    <mergeCell ref="B34:E34"/>
    <mergeCell ref="B36:E36"/>
    <mergeCell ref="B32:E3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1F3864"/>
    <outlinePr summaryBelow="1" summaryRight="1"/>
    <pageSetUpPr fitToPage="1"/>
  </sheetPr>
  <dimension ref="A1:I38"/>
  <sheetViews>
    <sheetView showGridLines="0" zoomScaleNormal="100" workbookViewId="0">
      <pane xSplit="1" ySplit="5" topLeftCell="B31" activePane="bottomRight" state="frozen"/>
      <selection pane="topRight" activeCell="B1" sqref="B1"/>
      <selection pane="bottomLeft" activeCell="A6" sqref="A6"/>
      <selection pane="bottomRight" activeCell="A1" sqref="A1:G1"/>
    </sheetView>
  </sheetViews>
  <sheetFormatPr baseColWidth="10" defaultColWidth="8.6640625" defaultRowHeight="14.25"/>
  <cols>
    <col width="4" customWidth="1" min="1" max="1"/>
    <col width="38" customWidth="1" min="2" max="2"/>
    <col width="17" customWidth="1" min="3" max="6"/>
    <col width="4" customWidth="1" min="7" max="7"/>
    <col width="50" customWidth="1" min="8" max="8"/>
    <col width="4" customWidth="1" min="9" max="9"/>
  </cols>
  <sheetData>
    <row r="1" ht="31.5" customHeight="1">
      <c r="A1" s="135" t="inlineStr">
        <is>
          <t>10.  Arbitrage global de la rémunération</t>
        </is>
      </c>
      <c r="I1" s="9" t="inlineStr">
        <is>
          <t>↩ Retour sommaire</t>
        </is>
      </c>
    </row>
    <row r="2" ht="19.5" customHeight="1">
      <c r="A2" s="136" t="inlineStr">
        <is>
          <t>4 stratégies comparées à enveloppe constante (cf. cellule « Enveloppe » de la feuille Profil).</t>
        </is>
      </c>
    </row>
    <row r="4" ht="21.75" customHeight="1">
      <c r="B4" s="133" t="inlineStr">
        <is>
          <t>MATRICE DES STRATÉGIES</t>
        </is>
      </c>
    </row>
    <row r="5">
      <c r="B5" s="21" t="inlineStr">
        <is>
          <t>Élément</t>
        </is>
      </c>
      <c r="C5" s="21" t="inlineStr">
        <is>
          <t>Stratégie A</t>
        </is>
      </c>
      <c r="D5" s="21" t="inlineStr">
        <is>
          <t>Stratégie B</t>
        </is>
      </c>
      <c r="E5" s="21" t="inlineStr">
        <is>
          <t>Stratégie C</t>
        </is>
      </c>
      <c r="F5" s="21" t="inlineStr">
        <is>
          <t>Stratégie D</t>
        </is>
      </c>
      <c r="H5" s="21" t="inlineStr">
        <is>
          <t>Commentaires</t>
        </is>
      </c>
    </row>
    <row r="6" ht="27.75" customHeight="1">
      <c r="B6" s="77" t="n"/>
      <c r="C6" s="42" t="inlineStr">
        <is>
          <t>100 % rémunération directe</t>
        </is>
      </c>
      <c r="D6" s="42" t="inlineStr">
        <is>
          <t>Salaire optimisé + dividendes</t>
        </is>
      </c>
      <c r="E6" s="42" t="inlineStr">
        <is>
          <t>+ Épargne salariale &amp; PER</t>
        </is>
      </c>
      <c r="F6" s="42" t="inlineStr">
        <is>
          <t>+ Périphériques &amp; cashback</t>
        </is>
      </c>
    </row>
    <row r="7">
      <c r="B7" s="33" t="inlineStr">
        <is>
          <t>Allocation salaire / rémunération (%)</t>
        </is>
      </c>
      <c r="C7" s="187" t="n">
        <v>1</v>
      </c>
      <c r="D7" s="187" t="n">
        <v>0.6</v>
      </c>
      <c r="E7" s="187" t="n">
        <v>0.5</v>
      </c>
      <c r="F7" s="187" t="n">
        <v>0.45</v>
      </c>
      <c r="H7" s="142" t="inlineStr">
        <is>
          <t>% de l'enveloppe alloué à la rémunération directe (salaire ou TNS).</t>
        </is>
      </c>
    </row>
    <row r="8">
      <c r="B8" s="33" t="inlineStr">
        <is>
          <t>Allocation dividendes (%)</t>
        </is>
      </c>
      <c r="C8" s="187" t="n">
        <v>0</v>
      </c>
      <c r="D8" s="187" t="n">
        <v>0.4</v>
      </c>
      <c r="E8" s="187" t="n">
        <v>0.3</v>
      </c>
      <c r="F8" s="187" t="n">
        <v>0.25</v>
      </c>
      <c r="H8" s="142" t="inlineStr">
        <is>
          <t>% en dividendes (PFU 30 %).</t>
        </is>
      </c>
    </row>
    <row r="9">
      <c r="B9" s="33" t="inlineStr">
        <is>
          <t>Allocation épargne salariale &amp; PER (%)</t>
        </is>
      </c>
      <c r="C9" s="187" t="n">
        <v>0</v>
      </c>
      <c r="D9" s="187" t="n">
        <v>0</v>
      </c>
      <c r="E9" s="187" t="n">
        <v>0.2</v>
      </c>
      <c r="F9" s="187" t="n">
        <v>0.2</v>
      </c>
      <c r="H9" s="142" t="inlineStr">
        <is>
          <t>Participation, intéressement, abondement, PER - exo IR si placement long.</t>
        </is>
      </c>
    </row>
    <row r="10">
      <c r="B10" s="33" t="inlineStr">
        <is>
          <t>Allocation périphériques &amp; cashback (%)</t>
        </is>
      </c>
      <c r="C10" s="187" t="n">
        <v>0</v>
      </c>
      <c r="D10" s="187" t="n">
        <v>0</v>
      </c>
      <c r="E10" s="187" t="n">
        <v>0</v>
      </c>
      <c r="F10" s="187" t="n">
        <v>0.1</v>
      </c>
      <c r="H10" s="142" t="inlineStr">
        <is>
          <t>TR, CESU, mutuelle, AN, cashback - exonérés ou tolérés.</t>
        </is>
      </c>
    </row>
    <row r="11">
      <c r="B11" s="4" t="inlineStr">
        <is>
          <t>Total alloué (contrôle)</t>
        </is>
      </c>
      <c r="C11" s="197">
        <f>C7+C8+C9+C10</f>
        <v/>
      </c>
      <c r="D11" s="197">
        <f>D7+D8+D9+D10</f>
        <v/>
      </c>
      <c r="E11" s="197">
        <f>E7+E8+E9+E10</f>
        <v/>
      </c>
      <c r="F11" s="197">
        <f>F7+F8+F9+F10</f>
        <v/>
      </c>
      <c r="H11" s="154" t="inlineStr">
        <is>
          <t>Doit toujours être égal à 100 %. Ajuster les allocations sinon.</t>
        </is>
      </c>
    </row>
    <row r="13" ht="15.75" customHeight="1">
      <c r="B13" s="133" t="inlineStr">
        <is>
          <t>MONTANTS PAR POSTE (€)</t>
        </is>
      </c>
    </row>
    <row r="14">
      <c r="B14" s="33" t="inlineStr">
        <is>
          <t>Coût employeur alloué au salaire (€)</t>
        </is>
      </c>
      <c r="C14" s="190">
        <f>ENVELOPPE*C7</f>
        <v/>
      </c>
      <c r="D14" s="190">
        <f>ENVELOPPE*D7</f>
        <v/>
      </c>
      <c r="E14" s="190">
        <f>ENVELOPPE*E7</f>
        <v/>
      </c>
      <c r="F14" s="190">
        <f>ENVELOPPE*F7</f>
        <v/>
      </c>
      <c r="H14" s="154" t="inlineStr">
        <is>
          <t>Coût total société (charges incluses).</t>
        </is>
      </c>
    </row>
    <row r="15">
      <c r="B15" s="33" t="inlineStr">
        <is>
          <t>Bénéfice avant IS alloué aux dividendes (€)</t>
        </is>
      </c>
      <c r="C15" s="190">
        <f>ENVELOPPE*C8</f>
        <v/>
      </c>
      <c r="D15" s="190">
        <f>ENVELOPPE*D8</f>
        <v/>
      </c>
      <c r="E15" s="190">
        <f>ENVELOPPE*E8</f>
        <v/>
      </c>
      <c r="F15" s="190">
        <f>ENVELOPPE*F8</f>
        <v/>
      </c>
      <c r="H15" s="154" t="inlineStr">
        <is>
          <t>Bénéfice avant IS consommé pour générer les dividendes.</t>
        </is>
      </c>
    </row>
    <row r="16">
      <c r="B16" s="33" t="inlineStr">
        <is>
          <t>Coût alloué à l'épargne salariale &amp; PER (€)</t>
        </is>
      </c>
      <c r="C16" s="190">
        <f>ENVELOPPE*C9</f>
        <v/>
      </c>
      <c r="D16" s="190">
        <f>ENVELOPPE*D9</f>
        <v/>
      </c>
      <c r="E16" s="190">
        <f>ENVELOPPE*E9</f>
        <v/>
      </c>
      <c r="F16" s="190">
        <f>ENVELOPPE*F9</f>
        <v/>
      </c>
    </row>
    <row r="17">
      <c r="B17" s="33" t="inlineStr">
        <is>
          <t>Coût alloué aux périphériques &amp; cashback (€)</t>
        </is>
      </c>
      <c r="C17" s="190">
        <f>ENVELOPPE*C10</f>
        <v/>
      </c>
      <c r="D17" s="190">
        <f>ENVELOPPE*D10</f>
        <v/>
      </c>
      <c r="E17" s="190">
        <f>ENVELOPPE*E10</f>
        <v/>
      </c>
      <c r="F17" s="190">
        <f>ENVELOPPE*F10</f>
        <v/>
      </c>
    </row>
    <row r="19" ht="15.75" customHeight="1">
      <c r="B19" s="133" t="inlineStr">
        <is>
          <t>NET DIRIGEANT APRÈS FISCALITÉ (€)</t>
        </is>
      </c>
    </row>
    <row r="20">
      <c r="B20" s="33" t="inlineStr">
        <is>
          <t>Taux moyen IR appliqué (aligné module sélectionné)</t>
        </is>
      </c>
      <c r="C20" s="191">
        <f>MAX(IFERROR(IF(REGIME_SOCIAL="TNS",TX_IR_MOY_TNS,IF(REGIME_SOCIAL="TNS (libéral)",TX_IR_MOY_LIB,IF(REGIME_SOCIAL="Salarié",TX_IR_MOY_SAL,TX_IR_MOY_ASS))),0.3),0.05)</f>
        <v/>
      </c>
      <c r="D20" s="191">
        <f>MAX(IFERROR(IF(REGIME_SOCIAL="TNS",TX_IR_MOY_TNS,IF(REGIME_SOCIAL="TNS (libéral)",TX_IR_MOY_LIB,IF(REGIME_SOCIAL="Salarié",TX_IR_MOY_SAL,TX_IR_MOY_ASS))),0.3),0.05)</f>
        <v/>
      </c>
      <c r="E20" s="191">
        <f>MAX(IFERROR(IF(REGIME_SOCIAL="TNS",TX_IR_MOY_TNS,IF(REGIME_SOCIAL="TNS (libéral)",TX_IR_MOY_LIB,IF(REGIME_SOCIAL="Salarié",TX_IR_MOY_SAL,TX_IR_MOY_ASS))),0.3),0.05)</f>
        <v/>
      </c>
      <c r="F20" s="191">
        <f>MAX(IFERROR(IF(REGIME_SOCIAL="TNS",TX_IR_MOY_TNS,IF(REGIME_SOCIAL="TNS (libéral)",TX_IR_MOY_LIB,IF(REGIME_SOCIAL="Salarié",TX_IR_MOY_SAL,TX_IR_MOY_ASS))),0.3),0.05)</f>
        <v/>
      </c>
      <c r="H20" s="154" t="inlineStr">
        <is>
          <t>Taux moyen IR effectif extrait du module sélectionné (IR + CEHR + CDHR) / Revenu imposable. Plus fin que la TMI marginale forfaitaire - assume une TMI stable across stratégies, biais sur hauts revenus.</t>
        </is>
      </c>
    </row>
    <row r="21">
      <c r="B21" s="33" t="inlineStr">
        <is>
          <t>Net salaire après IR (€)</t>
        </is>
      </c>
      <c r="C21" s="185">
        <f>IF(REGIME_SOCIAL="TNS",C14/(1+TX_TNS)*(1-C20),IF(REGIME_SOCIAL="TNS (libéral)",C14/(1+TX_LIB)*(1-C20),C14/(1+TX_PATRONAL)*(1-TX_SALARIAL-ASSIETTE_CSG_SAL*0.097)*(1-C20)))</f>
        <v/>
      </c>
      <c r="D21" s="185">
        <f>IF(REGIME_SOCIAL="TNS",D14/(1+TX_TNS)*(1-D20),IF(REGIME_SOCIAL="TNS (libéral)",D14/(1+TX_LIB)*(1-D20),D14/(1+TX_PATRONAL)*(1-TX_SALARIAL-ASSIETTE_CSG_SAL*0.097)*(1-D20)))</f>
        <v/>
      </c>
      <c r="E21" s="185">
        <f>IF(REGIME_SOCIAL="TNS",E14/(1+TX_TNS)*(1-E20),IF(REGIME_SOCIAL="TNS (libéral)",E14/(1+TX_LIB)*(1-E20),E14/(1+TX_PATRONAL)*(1-TX_SALARIAL-ASSIETTE_CSG_SAL*0.097)*(1-E20)))</f>
        <v/>
      </c>
      <c r="F21" s="185">
        <f>IF(REGIME_SOCIAL="TNS",F14/(1+TX_TNS)*(1-F20),IF(REGIME_SOCIAL="TNS (libéral)",F14/(1+TX_LIB)*(1-F20),F14/(1+TX_PATRONAL)*(1-TX_SALARIAL-ASSIETTE_CSG_SAL*0.097)*(1-F20)))</f>
        <v/>
      </c>
      <c r="H21" s="154" t="inlineStr">
        <is>
          <t>Net dirigeant après cotisations sociales et IR sur la part rémunération directe.</t>
        </is>
      </c>
    </row>
    <row r="22">
      <c r="B22" s="33" t="inlineStr">
        <is>
          <t>Net dividendes après IS, cotis. (TNS) et PFU/IR (€)</t>
        </is>
      </c>
      <c r="C22" s="185">
        <f>IF(OR(REGIME_SOCIAL="TNS",REGIME_SOCIAL="TNS (libéral)"),(MIN((C15-(MIN(C15,IS_PLAF_REDUIT)*TX_IS_REDUIT+MAX(0,C15-IS_PLAF_REDUIT)*TX_IS_NORMAL)),(0.1*CAPITAL_TNS))*(1-TX_PFU)+MAX(0,(C15-(MIN(C15,IS_PLAF_REDUIT)*TX_IS_REDUIT+MAX(0,C15-IS_PLAF_REDUIT)*TX_IS_NORMAL))-(0.1*CAPITAL_TNS))/(1+TX_TNS)*(1-MAX(IFERROR(TX_IR_MOY_TNS,0.3),0.2))),((C15-(MIN(C15,IS_PLAF_REDUIT)*TX_IS_REDUIT+MAX(0,C15-IS_PLAF_REDUIT)*TX_IS_NORMAL))*(1-TX_PFU)))</f>
        <v/>
      </c>
      <c r="D22" s="185">
        <f>IF(OR(REGIME_SOCIAL="TNS",REGIME_SOCIAL="TNS (libéral)"),(MIN((D15-(MIN(D15,IS_PLAF_REDUIT)*TX_IS_REDUIT+MAX(0,D15-IS_PLAF_REDUIT)*TX_IS_NORMAL)),(0.1*CAPITAL_TNS))*(1-TX_PFU)+MAX(0,(D15-(MIN(D15,IS_PLAF_REDUIT)*TX_IS_REDUIT+MAX(0,D15-IS_PLAF_REDUIT)*TX_IS_NORMAL))-(0.1*CAPITAL_TNS))/(1+TX_TNS)*(1-MAX(IFERROR(TX_IR_MOY_TNS,0.3),0.2))),((D15-(MIN(D15,IS_PLAF_REDUIT)*TX_IS_REDUIT+MAX(0,D15-IS_PLAF_REDUIT)*TX_IS_NORMAL))*(1-TX_PFU)))</f>
        <v/>
      </c>
      <c r="E22" s="185">
        <f>IF(OR(REGIME_SOCIAL="TNS",REGIME_SOCIAL="TNS (libéral)"),(MIN((E15-(MIN(E15,IS_PLAF_REDUIT)*TX_IS_REDUIT+MAX(0,E15-IS_PLAF_REDUIT)*TX_IS_NORMAL)),(0.1*CAPITAL_TNS))*(1-TX_PFU)+MAX(0,(E15-(MIN(E15,IS_PLAF_REDUIT)*TX_IS_REDUIT+MAX(0,E15-IS_PLAF_REDUIT)*TX_IS_NORMAL))-(0.1*CAPITAL_TNS))/(1+TX_TNS)*(1-MAX(IFERROR(TX_IR_MOY_TNS,0.3),0.2))),((E15-(MIN(E15,IS_PLAF_REDUIT)*TX_IS_REDUIT+MAX(0,E15-IS_PLAF_REDUIT)*TX_IS_NORMAL))*(1-TX_PFU)))</f>
        <v/>
      </c>
      <c r="F22" s="185">
        <f>IF(OR(REGIME_SOCIAL="TNS",REGIME_SOCIAL="TNS (libéral)"),(MIN((F15-(MIN(F15,IS_PLAF_REDUIT)*TX_IS_REDUIT+MAX(0,F15-IS_PLAF_REDUIT)*TX_IS_NORMAL)),(0.1*CAPITAL_TNS))*(1-TX_PFU)+MAX(0,(F15-(MIN(F15,IS_PLAF_REDUIT)*TX_IS_REDUIT+MAX(0,F15-IS_PLAF_REDUIT)*TX_IS_NORMAL))-(0.1*CAPITAL_TNS))/(1+TX_TNS)*(1-MAX(IFERROR(TX_IR_MOY_TNS,0.3),0.2))),((F15-(MIN(F15,IS_PLAF_REDUIT)*TX_IS_REDUIT+MAX(0,F15-IS_PLAF_REDUIT)*TX_IS_NORMAL))*(1-TX_PFU)))</f>
        <v/>
      </c>
      <c r="H22" s="154" t="inlineStr">
        <is>
          <t>Pour TNS et TNS (libéral, dont SELARL/SCP) : fraction divs &gt; 10 % capital social requalifiée en rémunération (cotis ~45 % + IR au barème). Sous le seuil : PFU 31,4 %. Pour assimilé salarié / SELAS / salarié : 100 % au PFU.</t>
        </is>
      </c>
    </row>
    <row r="23">
      <c r="B23" s="33" t="inlineStr">
        <is>
          <t>Net épargne salariale &amp; PER (€)</t>
        </is>
      </c>
      <c r="C23" s="185">
        <f>C16/(1+IFERROR((IF(TOG_PARTICIPATION="Oui",M_PARTICIPATION,0)*(IF(OR(EFFECTIF="Sans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D23" s="185">
        <f>D16/(1+IFERROR((IF(TOG_PARTICIPATION="Oui",M_PARTICIPATION,0)*(IF(OR(EFFECTIF="Sans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E23" s="185">
        <f>E16/(1+IFERROR((IF(TOG_PARTICIPATION="Oui",M_PARTICIPATION,0)*(IF(OR(EFFECTIF="Sans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F23" s="185">
        <f>F16/(1+IFERROR((IF(TOG_PARTICIPATION="Oui",M_PARTICIPATION,0)*(IF(OR(EFFECTIF="Sans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H23" s="154" t="inlineStr">
        <is>
          <t>Forfait social granulaire pondéré : 0 % participation/abondement &lt; 50 sal, 20 % au-delà ; 0 % intéressement &lt; 250 sal, 20 % au-delà (loi PACTE 2019).</t>
        </is>
      </c>
    </row>
    <row r="24">
      <c r="B24" s="33" t="inlineStr">
        <is>
          <t>Net périphériques &amp; cashback (€)</t>
        </is>
      </c>
      <c r="C24" s="185">
        <f>C17*0.95</f>
        <v/>
      </c>
      <c r="D24" s="185">
        <f>D17*0.95</f>
        <v/>
      </c>
      <c r="E24" s="185">
        <f>E17*0.95</f>
        <v/>
      </c>
      <c r="F24" s="185">
        <f>F17*0.95</f>
        <v/>
      </c>
      <c r="H24" s="154" t="inlineStr">
        <is>
          <t>Hypothèse efficacité 95 % - TR/CESU/mutuelle/cashback combinés.</t>
        </is>
      </c>
    </row>
    <row r="26">
      <c r="B26" s="73" t="inlineStr">
        <is>
          <t>TOTAL NET DIRIGEANT APRÈS FISCALITÉ (€)</t>
        </is>
      </c>
      <c r="C26" s="196">
        <f>C21+C22+C23+C24</f>
        <v/>
      </c>
      <c r="D26" s="196">
        <f>D21+D22+D23+D24</f>
        <v/>
      </c>
      <c r="E26" s="196">
        <f>E21+E22+E23+E24</f>
        <v/>
      </c>
      <c r="F26" s="196">
        <f>F21+F22+F23+F24</f>
        <v/>
      </c>
      <c r="H26" s="154" t="inlineStr">
        <is>
          <t>Pouvoir d'achat net annuel total du dirigeant.</t>
        </is>
      </c>
    </row>
    <row r="27">
      <c r="B27" s="73" t="inlineStr">
        <is>
          <t>Coût total société (€)</t>
        </is>
      </c>
      <c r="C27" s="196">
        <f>C14+C15+C16+C17</f>
        <v/>
      </c>
      <c r="D27" s="196">
        <f>D14+D15+D16+D17</f>
        <v/>
      </c>
      <c r="E27" s="196">
        <f>E14+E15+E16+E17</f>
        <v/>
      </c>
      <c r="F27" s="196">
        <f>F14+F15+F16+F17</f>
        <v/>
      </c>
      <c r="H27" s="154" t="inlineStr">
        <is>
          <t>Doit être égal à l'enveloppe (cf. ligne contrôle plus haut).</t>
        </is>
      </c>
    </row>
    <row r="28">
      <c r="B28" s="73" t="inlineStr">
        <is>
          <t>Efficacité fiscale (net / coût)</t>
        </is>
      </c>
      <c r="C28" s="197">
        <f>IFERROR(C26/C27,0)</f>
        <v/>
      </c>
      <c r="D28" s="197">
        <f>IFERROR(D26/D27,0)</f>
        <v/>
      </c>
      <c r="E28" s="197">
        <f>IFERROR(E26/E27,0)</f>
        <v/>
      </c>
      <c r="F28" s="197">
        <f>IFERROR(F26/F27,0)</f>
        <v/>
      </c>
      <c r="H28" s="154" t="inlineStr">
        <is>
          <t>% de l'enveloppe qui arrive en net après fiscalité.</t>
        </is>
      </c>
    </row>
    <row r="29">
      <c r="B29" s="78" t="inlineStr">
        <is>
          <t>Gain vs Stratégie A (€)</t>
        </is>
      </c>
      <c r="C29" s="24" t="inlineStr">
        <is>
          <t>-</t>
        </is>
      </c>
      <c r="D29" s="198">
        <f>D26-C26</f>
        <v/>
      </c>
      <c r="E29" s="198">
        <f>E26-C26</f>
        <v/>
      </c>
      <c r="F29" s="198">
        <f>F26-C26</f>
        <v/>
      </c>
      <c r="H29" s="154" t="inlineStr">
        <is>
          <t>Différentiel de pouvoir d'achat vs scénario tout-salaire.</t>
        </is>
      </c>
    </row>
    <row r="31">
      <c r="B31" s="48" t="inlineStr">
        <is>
          <t>Lecture &amp; limites du modèle</t>
        </is>
      </c>
    </row>
    <row r="32" ht="21.75" customHeight="1">
      <c r="B32" s="142" t="inlineStr">
        <is>
          <t>• Cet arbitrage est un cadrage stratégique. Les modules détaillés (feuilles 6 à 9) affinent les calculs par population.</t>
        </is>
      </c>
    </row>
    <row r="33" ht="21.75" customHeight="1">
      <c r="B33" s="142" t="inlineStr">
        <is>
          <t>• Vérifier que l'enveloppe est cohérente avec le bénéfice IS de la société (cf. feuille « 5. Profil ») pour que les dividendes soient effectivement distribuables.</t>
        </is>
      </c>
    </row>
    <row r="34" ht="21.75" customHeight="1">
      <c r="B34" s="142" t="inlineStr">
        <is>
          <t>• Pour TNS gérant majoritaire : la fraction de dividendes &gt; 10 % du capital est soumise à cotisations TNS - non modélisé ici (cf. module 7).</t>
        </is>
      </c>
    </row>
    <row r="35" ht="21.75" customHeight="1">
      <c r="B35" s="142" t="inlineStr">
        <is>
          <t>• Les périphériques (TR, CESU, mutuelle…) sont plafonnés individuellement - ne pas dépasser les seuils d'exonération (cf. feuille « 4. Paramètres »).</t>
        </is>
      </c>
    </row>
    <row r="36" ht="21.75" customHeight="1">
      <c r="B36" s="142" t="inlineStr">
        <is>
          <t>• Le PER individuel offre un effet immédiat (économie IR au TMI) - son intérêt dépend du différentiel de TMI entre activité et retraite.</t>
        </is>
      </c>
    </row>
    <row r="38" ht="15" customHeight="1">
      <c r="A38" s="134" t="inlineStr">
        <is>
          <t>Outil indicatif à usage professionnel - ne se substitue pas à un conseil personnalisé. Paramètres fiscaux à mettre à jour annuellement (cf. feuille « 13. Sources »).</t>
        </is>
      </c>
    </row>
  </sheetData>
  <mergeCells count="11">
    <mergeCell ref="B36:H36"/>
    <mergeCell ref="B32:H32"/>
    <mergeCell ref="A1:G1"/>
    <mergeCell ref="B13:H13"/>
    <mergeCell ref="B35:H35"/>
    <mergeCell ref="B4:H4"/>
    <mergeCell ref="A2:G2"/>
    <mergeCell ref="B33:H33"/>
    <mergeCell ref="B19:H19"/>
    <mergeCell ref="B34:H34"/>
    <mergeCell ref="A38:I38"/>
  </mergeCells>
  <hyperlinks>
    <hyperlink ref="I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2.xml><?xml version="1.0" encoding="utf-8"?>
<worksheet xmlns="http://schemas.openxmlformats.org/spreadsheetml/2006/main">
  <sheetPr>
    <tabColor rgb="FF548235"/>
    <outlinePr summaryBelow="1" summaryRight="1"/>
    <pageSetUpPr fitToPage="1"/>
  </sheetPr>
  <dimension ref="A1:I196"/>
  <sheetViews>
    <sheetView showGridLines="0" zoomScaleNormal="100" workbookViewId="0">
      <pane ySplit="3" topLeftCell="A178" activePane="bottomLeft" state="frozen"/>
      <selection pane="bottomLeft" activeCell="A1" sqref="A1:G1"/>
    </sheetView>
  </sheetViews>
  <sheetFormatPr baseColWidth="10" defaultColWidth="8.6640625" defaultRowHeight="14.25"/>
  <cols>
    <col width="4" customWidth="1" min="1" max="1"/>
    <col width="38" customWidth="1" min="2" max="2"/>
    <col width="17" customWidth="1" min="3" max="4"/>
    <col width="30" customWidth="1" min="5" max="5"/>
    <col width="17" customWidth="1" min="6" max="6"/>
  </cols>
  <sheetData>
    <row r="1" ht="31.5" customHeight="1">
      <c r="A1" s="135" t="inlineStr">
        <is>
          <t>11.  Synthèse dirigeant</t>
        </is>
      </c>
      <c r="I1" s="9" t="inlineStr">
        <is>
          <t>↩ Retour sommaire</t>
        </is>
      </c>
    </row>
    <row r="2" ht="19.5" customHeight="1">
      <c r="A2" s="136" t="inlineStr">
        <is>
          <t>Livrable client - résumé exécutif des arbitrages.</t>
        </is>
      </c>
    </row>
    <row r="4" ht="21.75" customHeight="1">
      <c r="B4" s="133" t="inlineStr">
        <is>
          <t>DOSSIER</t>
        </is>
      </c>
    </row>
    <row r="5">
      <c r="B5" s="33" t="inlineStr">
        <is>
          <t>Client</t>
        </is>
      </c>
      <c r="C5" s="65">
        <f>CLIENT_NAME</f>
        <v/>
      </c>
    </row>
    <row r="6">
      <c r="B6" s="33" t="inlineStr">
        <is>
          <t>Forme juridique</t>
        </is>
      </c>
      <c r="C6" s="65">
        <f>FORME_JURIDIQUE</f>
        <v/>
      </c>
    </row>
    <row r="7">
      <c r="B7" s="33" t="inlineStr">
        <is>
          <t>Régime social</t>
        </is>
      </c>
      <c r="C7" s="65">
        <f>REGIME_SOCIAL</f>
        <v/>
      </c>
    </row>
    <row r="8">
      <c r="B8" s="33" t="inlineStr">
        <is>
          <t>Effectif</t>
        </is>
      </c>
      <c r="C8" s="65">
        <f>EFFECTIF</f>
        <v/>
      </c>
    </row>
    <row r="9">
      <c r="B9" s="33" t="inlineStr">
        <is>
          <t>Foyer fiscal - parts</t>
        </is>
      </c>
      <c r="C9" s="80">
        <f>PARTS</f>
        <v/>
      </c>
    </row>
    <row r="10">
      <c r="B10" s="33" t="inlineStr">
        <is>
          <t>Enveloppe à arbitrer (€)</t>
        </is>
      </c>
      <c r="C10" s="190">
        <f>ENVELOPPE</f>
        <v/>
      </c>
    </row>
    <row r="11">
      <c r="B11" s="33" t="inlineStr">
        <is>
          <t>Bénéfice IS de la société</t>
        </is>
      </c>
      <c r="C11" s="190">
        <f>BENEFICE_IS</f>
        <v/>
      </c>
    </row>
    <row r="13" ht="21.75" customHeight="1">
      <c r="B13" s="133" t="inlineStr">
        <is>
          <t>COMPARAISON DES STRATÉGIES (cf. feuille « 11. Arbitrage »)</t>
        </is>
      </c>
    </row>
    <row r="14">
      <c r="B14" s="29" t="inlineStr">
        <is>
          <t>Stratégie</t>
        </is>
      </c>
      <c r="C14" s="29" t="inlineStr">
        <is>
          <t>Net dirigeant</t>
        </is>
      </c>
      <c r="E14" s="29" t="inlineStr">
        <is>
          <t>Profil et points-clés</t>
        </is>
      </c>
    </row>
    <row r="15" ht="36" customHeight="1">
      <c r="B15" s="33" t="inlineStr">
        <is>
          <t>A - 100 % rémunération directe</t>
        </is>
      </c>
      <c r="C15" s="190">
        <f>INDEX('11. Arbitrage'!C:C,MATCH("TOTAL NET DIRIGEANT APRÈS FISCALITÉ (€)",'11. Arbitrage'!B:B,0))</f>
        <v/>
      </c>
      <c r="E15" s="142" t="inlineStr">
        <is>
          <t>Référence. Charges sociales et IR maximaux. Pour dirigeants ne pouvant pas distribuer (déficit, CC associé débiteur, etc.).</t>
        </is>
      </c>
    </row>
    <row r="16" ht="36" customHeight="1">
      <c r="B16" s="33" t="inlineStr">
        <is>
          <t>B - Salaire optimisé + dividendes</t>
        </is>
      </c>
      <c r="C16" s="190">
        <f>INDEX('11. Arbitrage'!D:D,MATCH("TOTAL NET DIRIGEANT APRÈS FISCALITÉ (€)",'11. Arbitrage'!B:B,0))</f>
        <v/>
      </c>
      <c r="E16" s="142" t="inlineStr">
        <is>
          <t>Mix classique. Le salaire sécurise les droits sociaux (retraite, maladie) ; les dividendes complètent à fiscalité allégée (PFU).</t>
        </is>
      </c>
    </row>
    <row r="17" ht="36" customHeight="1">
      <c r="B17" s="33" t="inlineStr">
        <is>
          <t>C - + Épargne salariale &amp; PER</t>
        </is>
      </c>
      <c r="C17" s="190">
        <f>INDEX('11. Arbitrage'!E:E,MATCH("TOTAL NET DIRIGEANT APRÈS FISCALITÉ (€)",'11. Arbitrage'!B:B,0))</f>
        <v/>
      </c>
      <c r="E17" s="142" t="inlineStr">
        <is>
          <t>Optimum fiscal pour la plupart des PME &lt; 250 sal. (forfait social 0 % loi PACTE). Capitaux différés mais exonérés en sortie.</t>
        </is>
      </c>
    </row>
    <row r="18" ht="36" customHeight="1">
      <c r="B18" s="58">
        <f>IF(TOG_CASHBACK="Oui","D - Stratégie complète + 💸 cashback","D - + Périphériques (sans cashback)")</f>
        <v/>
      </c>
      <c r="C18" s="193">
        <f>INDEX('11. Arbitrage'!F:F,MATCH("TOTAL NET DIRIGEANT APRÈS FISCALITÉ (€)",'11. Arbitrage'!B:B,0))</f>
        <v/>
      </c>
      <c r="E18" s="47">
        <f>IF(TOG_CASHBACK="Oui","Stratégie complète. Mobilise les enveloppes périphériques exonérées (TR/CESU/mutuelle) ainsi que le 💸 cashback (cf. note technique en feuille « 13. Sources »).","Stratégie complète. Mobilise les enveloppes périphériques exonérées (TR/CESU/mutuelle/AN) - utile pour PME et cadres dirigeants.")</f>
        <v/>
      </c>
    </row>
    <row r="20" ht="21.75" customHeight="1">
      <c r="B20" s="133" t="inlineStr">
        <is>
          <t>STRATÉGIE RECOMMANDÉE</t>
        </is>
      </c>
    </row>
    <row r="21">
      <c r="B21" s="33" t="inlineStr">
        <is>
          <t>Net dirigeant le plus élevé</t>
        </is>
      </c>
      <c r="C21" s="196">
        <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f>
        <v/>
      </c>
      <c r="E21" s="154" t="inlineStr">
        <is>
          <t>Maximum des 4 stratégies modélisées.</t>
        </is>
      </c>
    </row>
    <row r="22">
      <c r="B22" s="33" t="inlineStr">
        <is>
          <t>Gain vs Stratégie A (référence)</t>
        </is>
      </c>
      <c r="C22" s="198">
        <f>C21-INDEX('11. Arbitrage'!C:C,MATCH("TOTAL NET DIRIGEANT APRÈS FISCALITÉ (€)",'11. Arbitrage'!B:B,0))</f>
        <v/>
      </c>
      <c r="E22" s="154" t="inlineStr">
        <is>
          <t>Différentiel de pouvoir d'achat annuel.</t>
        </is>
      </c>
    </row>
    <row r="23">
      <c r="B23" s="33" t="inlineStr">
        <is>
          <t>Gain sur 5 ans</t>
        </is>
      </c>
      <c r="C23" s="198">
        <f>C22*5</f>
        <v/>
      </c>
      <c r="E23" s="154" t="inlineStr">
        <is>
          <t>Projection linéaire - paramètres 2025 figés.</t>
        </is>
      </c>
    </row>
    <row r="25" ht="21.75" customHeight="1">
      <c r="B25" s="133" t="inlineStr">
        <is>
          <t>POINTS D'ATTENTION</t>
        </is>
      </c>
    </row>
    <row r="26" ht="27.75" customHeight="1">
      <c r="B26" s="142" t="inlineStr">
        <is>
          <t>• Validation juridique - accord de participation, règlement PEE/PER : à formaliser avec un cabinet d'avocats si non encore en place.</t>
        </is>
      </c>
    </row>
    <row r="27" ht="27.75" customHeight="1">
      <c r="B27" s="142" t="inlineStr">
        <is>
          <t>• Cohérence avec la trésorerie société - vérifier la capacité distributive (réserves disponibles, ratios bancaires, covenants).</t>
        </is>
      </c>
    </row>
    <row r="28" ht="27.75" customHeight="1">
      <c r="B28" s="142" t="inlineStr">
        <is>
          <t>• Droits sociaux du dirigeant - un salaire trop faible affaiblit les droits retraite, indemnités journalières, chômage GSC. À calibrer.</t>
        </is>
      </c>
    </row>
    <row r="29" ht="27.75" customHeight="1">
      <c r="B29" s="142" t="inlineStr">
        <is>
          <t>• Régularité fiscale - déclaration 2042 (PER, dividendes), 2031 (BIC), 2035 (BNC), DSN, formulaire 2777-D pour PFU.</t>
        </is>
      </c>
    </row>
    <row r="30" ht="27.75" customHeight="1">
      <c r="B30" s="142" t="inlineStr">
        <is>
          <t>• Mise à jour annuelle - barème IR, PASS, plafonds dispositifs : actualiser la feuille « 4. Paramètres » chaque année.</t>
        </is>
      </c>
    </row>
    <row r="31" ht="27.75" customHeight="1">
      <c r="B31" s="142" t="inlineStr">
        <is>
          <t>• Évolution réglementaire - surveiller les évolutions du forfait social, du PFU, des seuils PME, et de la CSG.</t>
        </is>
      </c>
    </row>
    <row r="34" ht="21.75" customHeight="1">
      <c r="B34" s="133" t="inlineStr">
        <is>
          <t>✅ CHECK-LIST DE CONFORMITÉ (stratégie sélectionnée)</t>
        </is>
      </c>
    </row>
    <row r="35" ht="15" customHeight="1">
      <c r="B35" s="21" t="inlineStr">
        <is>
          <t>Point de contrôle</t>
        </is>
      </c>
      <c r="C35" s="21" t="inlineStr">
        <is>
          <t>Statut</t>
        </is>
      </c>
      <c r="D35" s="143" t="inlineStr">
        <is>
          <t>Action requise / commentaire</t>
        </is>
      </c>
      <c r="E35" s="175" t="n"/>
      <c r="F35" s="175" t="n"/>
    </row>
    <row r="36" ht="31.5" customHeight="1">
      <c r="B36" s="30" t="inlineStr">
        <is>
          <t>Effectif compatible avec dispositif participation</t>
        </is>
      </c>
      <c r="C36" s="24">
        <f>IF(AND('2. Dashboard'!$F$6&gt;="B",TOG_PARTICIPATION="Oui"),IF(OR(EFFECTIF="50-249 salariés",EFFECTIF="≥ 250 salariés"),"✅","⚠"),"-")</f>
        <v/>
      </c>
      <c r="D36" s="158">
        <f>IF(AND('2. Dashboard'!$F$6&gt;="B",TOG_PARTICIPATION="Oui",AND(EFFECTIF&lt;&gt;"50-249 salariés",EFFECTIF&lt;&gt;"≥ 250 salariés")),"Participation obligatoire à 50 salariés - pour &lt; 50, dispositif facultatif via accord. Vérifier la mise en place.","")</f>
        <v/>
      </c>
      <c r="E36" s="175" t="n"/>
      <c r="F36" s="174" t="n"/>
    </row>
    <row r="37" ht="31.5" customHeight="1">
      <c r="B37" s="30" t="inlineStr">
        <is>
          <t>Plafond participation individuel (75 % PASS = 36 045 €)</t>
        </is>
      </c>
      <c r="C37" s="24">
        <f>IF(AND('2. Dashboard'!$F$6&gt;="B",TOG_PARTICIPATION="Oui"),IF(M_PARTICIPATION&lt;=36045,"✅","🔴"),"-")</f>
        <v/>
      </c>
      <c r="D37" s="158">
        <f>IF(AND('2. Dashboard'!$F$6&gt;="B",TOG_PARTICIPATION="Oui",M_PARTICIPATION&gt;36045),"Montant participation dépasse 75 % PASS - réduire à 36 045 € max.","")</f>
        <v/>
      </c>
      <c r="E37" s="175" t="n"/>
      <c r="F37" s="174" t="n"/>
    </row>
    <row r="38" ht="31.5" customHeight="1">
      <c r="B38" s="30" t="inlineStr">
        <is>
          <t>Plafond intéressement individuel (75 % PASS)</t>
        </is>
      </c>
      <c r="C38" s="24">
        <f>IF(AND('2. Dashboard'!$F$6&gt;="B",TOG_INTERESSEMENT="Oui"),IF(M_INTERESSEMENT&lt;=36045,"✅","🔴"),"-")</f>
        <v/>
      </c>
      <c r="D38" s="158">
        <f>IF(AND('2. Dashboard'!$F$6&gt;="B",TOG_INTERESSEMENT="Oui",M_INTERESSEMENT&gt;36045),"Montant intéressement dépasse 75 % PASS - réduire à 36 045 € max.","")</f>
        <v/>
      </c>
      <c r="E38" s="175" t="n"/>
      <c r="F38" s="174" t="n"/>
    </row>
    <row r="39" ht="31.5" customHeight="1">
      <c r="B39" s="30" t="inlineStr">
        <is>
          <t>Plafond abondement PEE (8 % PASS = 3 845 €)</t>
        </is>
      </c>
      <c r="C39" s="24">
        <f>IF(AND('2. Dashboard'!$F$6&gt;="B",TOG_ABO_PEE="Oui"),IF(M_ABO_PEE&lt;=3845,"✅","🔴"),"-")</f>
        <v/>
      </c>
      <c r="D39" s="158">
        <f>IF(AND('2. Dashboard'!$F$6&gt;="B",TOG_ABO_PEE="Oui",M_ABO_PEE&gt;3845),"Abondement PEE dépasse 8 % PASS - réduire à 3 845 € max.","")</f>
        <v/>
      </c>
      <c r="E39" s="175" t="n"/>
      <c r="F39" s="174" t="n"/>
    </row>
    <row r="40" ht="31.5" customHeight="1">
      <c r="B40" s="30" t="inlineStr">
        <is>
          <t>Plafond abondement PER collectif (16 % PASS = 7 690 €)</t>
        </is>
      </c>
      <c r="C40" s="24">
        <f>IF(AND('2. Dashboard'!$F$6&gt;="B",TOG_ABO_PER="Oui"),IF(M_ABO_PER&lt;=7690,"✅","🔴"),"-")</f>
        <v/>
      </c>
      <c r="D40" s="158">
        <f>IF(AND('2. Dashboard'!$F$6&gt;="B",TOG_ABO_PER="Oui",M_ABO_PER&gt;7690),"Abondement PER dépasse 16 % PASS - réduire à 7 690 € max.","")</f>
        <v/>
      </c>
      <c r="E40" s="175" t="n"/>
      <c r="F40" s="174" t="n"/>
    </row>
    <row r="41" ht="31.5" customHeight="1">
      <c r="B41" s="30" t="inlineStr">
        <is>
          <t>Accord d'intéressement formalisé (≥ 3 ans)</t>
        </is>
      </c>
      <c r="C41" s="24">
        <f>IF(AND('2. Dashboard'!$F$6&gt;="B",TOG_INTERESSEMENT="Oui"),"⚠","-")</f>
        <v/>
      </c>
      <c r="D41" s="158">
        <f>IF(AND('2. Dashboard'!$F$6&gt;="B",TOG_INTERESSEMENT="Oui"),"Vérifier l'existence d'un accord triennal déposé à la DDETSPP. À défaut : à mettre en place avant exonération.","")</f>
        <v/>
      </c>
      <c r="E41" s="175" t="n"/>
      <c r="F41" s="174" t="n"/>
    </row>
    <row r="42" ht="31.5" customHeight="1">
      <c r="B42" s="30" t="inlineStr">
        <is>
          <t>Règlement PEE déposé et information salariés</t>
        </is>
      </c>
      <c r="C42" s="24">
        <f>IF(AND('2. Dashboard'!$F$6&gt;="B",OR(TOG_ABO_PEE="Oui",TOG_PARTICIPATION="Oui")),"⚠","-")</f>
        <v/>
      </c>
      <c r="D42" s="158">
        <f>IF(AND('2. Dashboard'!$F$6&gt;="B",OR(TOG_ABO_PEE="Oui",TOG_PARTICIPATION="Oui")),"Vérifier dépôt règlement PEE et livret épargne salariale remis aux salariés.","")</f>
        <v/>
      </c>
      <c r="E42" s="175" t="n"/>
      <c r="F42" s="174" t="n"/>
    </row>
    <row r="43" ht="31.5" customHeight="1">
      <c r="B43" s="30" t="inlineStr">
        <is>
          <t>Ratio dividendes / capital social (TNS gérant maj.)</t>
        </is>
      </c>
      <c r="C43" s="24">
        <f>IF(AND(REGIME_SOCIAL="TNS",DIVIDENDES_FOYER&gt;0),"⚠","-")</f>
        <v/>
      </c>
      <c r="D43" s="158">
        <f>IF(AND(REGIME_SOCIAL="TNS",DIVIDENDES_FOYER&gt;0),"Dividendes &gt; 10 % du capital social + primes d'émission + comptes courants = soumis à cotisations TNS (~45 %). Vérifier sur dossier client.","")</f>
        <v/>
      </c>
      <c r="E43" s="175" t="n"/>
      <c r="F43" s="174" t="n"/>
    </row>
    <row r="44" ht="31.5" customHeight="1">
      <c r="B44" s="30" t="inlineStr">
        <is>
          <t>Mode de déploiement cashback documenté</t>
        </is>
      </c>
      <c r="C44" s="24">
        <f>IF(TOG_CASHBACK="Oui","⚠","-")</f>
        <v/>
      </c>
      <c r="D44" s="158">
        <f>IF(TOG_CASHBACK="Oui","Cf. Profil §7 : mode Conforme suppose souscription nominative hors lien employeur et doc formalisée. Mode Standard = risque URSSAF.","")</f>
        <v/>
      </c>
      <c r="E44" s="175" t="n"/>
      <c r="F44" s="174" t="n"/>
    </row>
    <row r="45" ht="31.5" customHeight="1">
      <c r="B45" s="30" t="inlineStr">
        <is>
          <t>RFR foyer &gt; 250 k€ (célib) ou 500 k€ (marié) → CDHR active</t>
        </is>
      </c>
      <c r="C45" s="24">
        <f>IF(((SITUATION="Célibataire / divorcé / veuf")*((DIVIDENDES_FOYER+AUTRES_REV)&gt;250000))+((SITUATION="Marié / pacsé")*((DIVIDENDES_FOYER+AUTRES_REV)&gt;500000))&gt;0,"⚠","✅")</f>
        <v/>
      </c>
      <c r="D45" s="158">
        <f>IF(((SITUATION="Célibataire / divorcé / veuf")*((DIVIDENDES_FOYER+AUTRES_REV)&gt;250000))+((SITUATION="Marié / pacsé")*((DIVIDENDES_FOYER+AUTRES_REV)&gt;500000))&gt;0,"Foyer potentiellement assujetti à la CDHR (plancher 20 % IR effectif). Vérifier le calcul fin sur impots.gouv.fr.","")</f>
        <v/>
      </c>
      <c r="E45" s="175" t="n"/>
      <c r="F45" s="174" t="n"/>
    </row>
    <row r="48" ht="21.75" customHeight="1">
      <c r="B48" s="133" t="inlineStr">
        <is>
          <t>💰 COÛTS DE MISE EN ŒUVRE ESTIMÉS (1ère année)</t>
        </is>
      </c>
    </row>
    <row r="49" ht="15" customHeight="1">
      <c r="B49" s="21" t="inlineStr">
        <is>
          <t>Poste</t>
        </is>
      </c>
      <c r="C49" s="21" t="inlineStr">
        <is>
          <t>Coût</t>
        </is>
      </c>
      <c r="D49" s="143" t="inlineStr">
        <is>
          <t>Commentaire</t>
        </is>
      </c>
      <c r="E49" s="175" t="n"/>
      <c r="F49" s="175" t="n"/>
    </row>
    <row r="50" ht="25.5" customHeight="1">
      <c r="B50" s="30" t="inlineStr">
        <is>
          <t>Mission cabinet - cadrage stratégique</t>
        </is>
      </c>
      <c r="C50" s="199">
        <f>1200</f>
        <v/>
      </c>
      <c r="D50" s="158" t="inlineStr">
        <is>
          <t>Forfait indicatif. Inclut audit du dossier et restitution client.</t>
        </is>
      </c>
      <c r="E50" s="175" t="n"/>
      <c r="F50" s="174" t="n"/>
    </row>
    <row r="51" ht="25.5" customHeight="1">
      <c r="B51" s="30" t="inlineStr">
        <is>
          <t>Mise en place accord d'intéressement</t>
        </is>
      </c>
      <c r="C51" s="199">
        <f>IF(AND('2. Dashboard'!$F$6&gt;="B",TOG_INTERESSEMENT="Oui"),800,0)</f>
        <v/>
      </c>
      <c r="D51" s="158" t="inlineStr">
        <is>
          <t>Rédaction de l'accord + dépôt DDETSPP + information salariés.</t>
        </is>
      </c>
      <c r="E51" s="175" t="n"/>
      <c r="F51" s="174" t="n"/>
    </row>
    <row r="52" ht="25.5" customHeight="1">
      <c r="B52" s="30" t="inlineStr">
        <is>
          <t>Mise en place règlement PEE / PER collectif</t>
        </is>
      </c>
      <c r="C52" s="199">
        <f>IF(AND('2. Dashboard'!$F$6&gt;="B",OR(TOG_ABO_PEE="Oui",TOG_ABO_PER="Oui")),1500,0)</f>
        <v/>
      </c>
      <c r="D52" s="158" t="inlineStr">
        <is>
          <t>Conventionnement teneur de compte + rédaction règlement + information salariés.</t>
        </is>
      </c>
      <c r="E52" s="175" t="n"/>
      <c r="F52" s="174" t="n"/>
    </row>
    <row r="53" ht="25.5" customHeight="1">
      <c r="B53" s="30" t="inlineStr">
        <is>
          <t>Frais teneur de compte PEE/PER (annuels)</t>
        </is>
      </c>
      <c r="C53" s="199">
        <f>IF(AND('2. Dashboard'!$F$6&gt;="B",OR(TOG_ABO_PEE="Oui",TOG_ABO_PER="Oui")),IF(OR(EFFECTIF="Sans salarié",EFFECTIF="1-10 salariés",EFFECTIF="11-49 salariés"),500,1200),0)</f>
        <v/>
      </c>
      <c r="D53" s="158" t="inlineStr">
        <is>
          <t>Frais récurrents (Amundi, BNP, Eres…). Variable selon prestataire et effectif.</t>
        </is>
      </c>
      <c r="E53" s="175" t="n"/>
      <c r="F53" s="174" t="n"/>
    </row>
    <row r="54" ht="25.5" customHeight="1">
      <c r="B54" s="30" t="inlineStr">
        <is>
          <t>Audit conformité périphériques (TR, CESU, AN)</t>
        </is>
      </c>
      <c r="C54" s="199">
        <f>IF(AND('2. Dashboard'!$F$6&gt;="C",OR(TOG_TR="Oui",TOG_CESU="Oui",TOG_AVANTAGES="Oui")),600,0)</f>
        <v/>
      </c>
      <c r="D54" s="158" t="inlineStr">
        <is>
          <t>Vérification plafonds, mise en place politique RH, mise à jour bulletins de paie.</t>
        </is>
      </c>
      <c r="E54" s="175" t="n"/>
      <c r="F54" s="174" t="n"/>
    </row>
    <row r="55" ht="25.5" customHeight="1">
      <c r="B55" s="30" t="inlineStr">
        <is>
          <t>Audit conformité cashback - mode Conforme</t>
        </is>
      </c>
      <c r="C55" s="199">
        <f>IF(AND(TOG_CASHBACK="Oui",CASHBACK_MODE="Conforme aux recommandations Sources"),900,0)</f>
        <v/>
      </c>
      <c r="D55" s="158" t="inlineStr">
        <is>
          <t>Note méthodologique cabinet, suivi de mise en œuvre, archivage justificatifs.</t>
        </is>
      </c>
      <c r="E55" s="175" t="n"/>
      <c r="F55" s="174" t="n"/>
    </row>
    <row r="56" ht="25.5" customHeight="1">
      <c r="B56" s="30" t="inlineStr">
        <is>
          <t>Provision risque URSSAF cashback - mode Standard</t>
        </is>
      </c>
      <c r="C56" s="199">
        <f>IF(AND(TOG_CASHBACK="Oui",CASHBACK_MODE="Standard / non documenté"),M_CASHBACK*0.3,0)</f>
        <v/>
      </c>
      <c r="D56" s="158" t="inlineStr">
        <is>
          <t>Provision 30 % du cashback en cas de requalification - à apprécier en fonction du dossier.</t>
        </is>
      </c>
      <c r="E56" s="175" t="n"/>
      <c r="F56" s="174" t="n"/>
    </row>
    <row r="57" ht="21.75" customHeight="1">
      <c r="B57" s="73" t="inlineStr">
        <is>
          <t>TOTAL coûts de mise en œuvre (1ère année)</t>
        </is>
      </c>
      <c r="C57" s="200">
        <f>SUM(C50:C56)</f>
        <v/>
      </c>
      <c r="D57" s="159" t="inlineStr">
        <is>
          <t>À mettre en regard du gain net annuel - ROI typique &lt; 1 an si stratégie ≥ B.</t>
        </is>
      </c>
      <c r="E57" s="175" t="n"/>
      <c r="F57" s="174" t="n"/>
    </row>
    <row r="59">
      <c r="B59" s="33" t="inlineStr">
        <is>
          <t>Gain net annuel vs Stratégie A</t>
        </is>
      </c>
      <c r="C59" s="199">
        <f>(IF('2.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Arbitrage'!B:B,0))))))-INDEX('11. Arbitrage'!C:C,MATCH("TOTAL NET DIRIGEANT APRÈS FISCALITÉ (€)",'11. Arbitrage'!B:B,0))</f>
        <v/>
      </c>
    </row>
    <row r="60" ht="25.5" customHeight="1">
      <c r="B60" s="33" t="inlineStr">
        <is>
          <t>Retour sur investissement (en mois)</t>
        </is>
      </c>
      <c r="C60" s="83">
        <f>IFERROR(IF(C59&gt;0,C57/C59*12,"-"),"-")</f>
        <v/>
      </c>
      <c r="D60" s="158" t="inlineStr">
        <is>
          <t>Coûts mise en œuvre ÷ gain annuel × 12. Au-delà de 12 mois, réinterroger l'opportunité.</t>
        </is>
      </c>
      <c r="E60" s="175" t="n"/>
      <c r="F60" s="174" t="n"/>
    </row>
    <row r="62" ht="21.75" customHeight="1">
      <c r="B62" s="133" t="inlineStr">
        <is>
          <t>📈 PROJECTION 5 ANS - PATRIMOINE NET CONSTITUÉ</t>
        </is>
      </c>
    </row>
    <row r="63">
      <c r="B63" s="21" t="inlineStr">
        <is>
          <t>Année</t>
        </is>
      </c>
      <c r="C63" s="21" t="inlineStr">
        <is>
          <t>Strat. A (réf.)</t>
        </is>
      </c>
      <c r="D63" s="21" t="inlineStr">
        <is>
          <t>Stratégie retenue</t>
        </is>
      </c>
      <c r="E63" s="21" t="inlineStr">
        <is>
          <t>Écart vs A</t>
        </is>
      </c>
    </row>
    <row r="64">
      <c r="B64" s="84" t="inlineStr">
        <is>
          <t>Année 1</t>
        </is>
      </c>
      <c r="C64" s="182">
        <f>(INDEX('11. Arbitrage'!C:C,MATCH("TOTAL NET DIRIGEANT APRÈS FISCALITÉ (€)",'11. Arbitrage'!B:B,0)))*((1+RDT_CASH)^1-1)/RDT_CASH*(1+RDT_CASH)</f>
        <v/>
      </c>
      <c r="D64"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f>
        <v/>
      </c>
      <c r="E64" s="201">
        <f>D64-C64</f>
        <v/>
      </c>
    </row>
    <row r="65">
      <c r="B65" s="84" t="inlineStr">
        <is>
          <t>Année 2</t>
        </is>
      </c>
      <c r="C65" s="182">
        <f>(INDEX('11. Arbitrage'!C:C,MATCH("TOTAL NET DIRIGEANT APRÈS FISCALITÉ (€)",'11. Arbitrage'!B:B,0)))*((1+RDT_CASH)^2-1)/RDT_CASH*(1+RDT_CASH)</f>
        <v/>
      </c>
      <c r="D65"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2-1)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Arbitrage'!B:B,0))))))*2)</f>
        <v/>
      </c>
      <c r="E65" s="201">
        <f>D65-C65</f>
        <v/>
      </c>
    </row>
    <row r="66">
      <c r="B66" s="84" t="inlineStr">
        <is>
          <t>Année 3</t>
        </is>
      </c>
      <c r="C66" s="182">
        <f>(INDEX('11. Arbitrage'!C:C,MATCH("TOTAL NET DIRIGEANT APRÈS FISCALITÉ (€)",'11. Arbitrage'!B:B,0)))*((1+RDT_CASH)^3-1)/RDT_CASH*(1+RDT_CASH)</f>
        <v/>
      </c>
      <c r="D66"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3-1)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Arbitrage'!B:B,0))))))*3)</f>
        <v/>
      </c>
      <c r="E66" s="201">
        <f>D66-C66</f>
        <v/>
      </c>
    </row>
    <row r="67">
      <c r="B67" s="84" t="inlineStr">
        <is>
          <t>Année 4</t>
        </is>
      </c>
      <c r="C67" s="182">
        <f>(INDEX('11. Arbitrage'!C:C,MATCH("TOTAL NET DIRIGEANT APRÈS FISCALITÉ (€)",'11. Arbitrage'!B:B,0)))*((1+RDT_CASH)^4-1)/RDT_CASH*(1+RDT_CASH)</f>
        <v/>
      </c>
      <c r="D67"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4-1)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Arbitrage'!B:B,0))))))*4)</f>
        <v/>
      </c>
      <c r="E67" s="201">
        <f>D67-C67</f>
        <v/>
      </c>
    </row>
    <row r="68">
      <c r="B68" s="84" t="inlineStr">
        <is>
          <t>Année 5</t>
        </is>
      </c>
      <c r="C68" s="182">
        <f>(INDEX('11. Arbitrage'!C:C,MATCH("TOTAL NET DIRIGEANT APRÈS FISCALITÉ (€)",'11. Arbitrage'!B:B,0)))*((1+RDT_CASH)^5-1)/RDT_CASH*(1+RDT_CASH)</f>
        <v/>
      </c>
      <c r="D68"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5-1)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Arbitrage'!B:B,0))))))*5)</f>
        <v/>
      </c>
      <c r="E68" s="201">
        <f>D68-C68</f>
        <v/>
      </c>
    </row>
    <row r="69">
      <c r="B69" s="156" t="inlineStr">
        <is>
          <t>Fraction capitalisable du gain (info)</t>
        </is>
      </c>
      <c r="C69" s="202">
        <f>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f>
        <v/>
      </c>
      <c r="D69" s="156" t="inlineStr">
        <is>
          <t>Calculé dynamiquement à partir des dispositifs activés en Profil §5.</t>
        </is>
      </c>
    </row>
    <row r="70" ht="36" customHeight="1">
      <c r="B70" s="142" t="inlineStr">
        <is>
          <t>Hypothèse : capital placé en début d'année, capitalisation annuelle composée. Stratégie A : rendement cash défensif (RDT_CASH, ~2 %). Stratégie retenue : rendement épargne salariale &amp; PER (RDT_EPARGNE, ~4 %). Hors fiscalité de sortie PER (différée, dépend du choix rente/capital).</t>
        </is>
      </c>
    </row>
    <row r="84" ht="21.75" customHeight="1">
      <c r="B84" s="133" t="inlineStr">
        <is>
          <t>📊 DÉCOMPOSITION DU GAIN vs STRATÉGIE A</t>
        </is>
      </c>
    </row>
    <row r="85">
      <c r="B85" s="21" t="inlineStr">
        <is>
          <t>Étape</t>
        </is>
      </c>
      <c r="C85" s="21" t="inlineStr">
        <is>
          <t>Net dirigeant</t>
        </is>
      </c>
      <c r="D85" s="21" t="inlineStr">
        <is>
          <t>Contribution</t>
        </is>
      </c>
      <c r="E85" s="21" t="inlineStr">
        <is>
          <t>Cumul</t>
        </is>
      </c>
    </row>
    <row r="86">
      <c r="B86" s="87" t="inlineStr">
        <is>
          <t>Stratégie A - référence salaire</t>
        </is>
      </c>
      <c r="C86" s="199">
        <f>INDEX('11. Arbitrage'!C:C,MATCH("TOTAL NET DIRIGEANT APRÈS FISCALITÉ (€)",'11. Arbitrage'!B:B,0))</f>
        <v/>
      </c>
      <c r="D86" s="42" t="inlineStr">
        <is>
          <t>-</t>
        </is>
      </c>
      <c r="E86" s="88">
        <f>C86-INDEX('11. Arbitrage'!C:C,MATCH("TOTAL NET DIRIGEANT APRÈS FISCALITÉ (€)",'11. Arbitrage'!B:B,0))</f>
        <v/>
      </c>
    </row>
    <row r="87">
      <c r="B87" s="87" t="inlineStr">
        <is>
          <t>+ Dividendes optimisés (B)</t>
        </is>
      </c>
      <c r="C87" s="199">
        <f>INDEX('11. Arbitrage'!D:D,MATCH("TOTAL NET DIRIGEANT APRÈS FISCALITÉ (€)",'11. Arbitrage'!B:B,0))</f>
        <v/>
      </c>
      <c r="D87" s="89">
        <f>INDEX('11. Arbitrage'!D:D,MATCH("TOTAL NET DIRIGEANT APRÈS FISCALITÉ (€)",'11. Arbitrage'!B:B,0))-INDEX('11. Arbitrage'!C:C,MATCH("TOTAL NET DIRIGEANT APRÈS FISCALITÉ (€)",'11. Arbitrage'!B:B,0))</f>
        <v/>
      </c>
      <c r="E87" s="88">
        <f>C87-INDEX('11. Arbitrage'!C:C,MATCH("TOTAL NET DIRIGEANT APRÈS FISCALITÉ (€)",'11. Arbitrage'!B:B,0))</f>
        <v/>
      </c>
    </row>
    <row r="88">
      <c r="B88" s="87" t="inlineStr">
        <is>
          <t>+ Épargne salariale &amp; PER (C)</t>
        </is>
      </c>
      <c r="C88" s="199">
        <f>INDEX('11. Arbitrage'!E:E,MATCH("TOTAL NET DIRIGEANT APRÈS FISCALITÉ (€)",'11. Arbitrage'!B:B,0))</f>
        <v/>
      </c>
      <c r="D88" s="89">
        <f>INDEX('11. Arbitrage'!E:E,MATCH("TOTAL NET DIRIGEANT APRÈS FISCALITÉ (€)",'11. Arbitrage'!B:B,0))-INDEX('11. Arbitrage'!D:D,MATCH("TOTAL NET DIRIGEANT APRÈS FISCALITÉ (€)",'11. Arbitrage'!B:B,0))</f>
        <v/>
      </c>
      <c r="E88" s="88">
        <f>C88-INDEX('11. Arbitrage'!C:C,MATCH("TOTAL NET DIRIGEANT APRÈS FISCALITÉ (€)",'11. Arbitrage'!B:B,0))</f>
        <v/>
      </c>
    </row>
    <row r="89">
      <c r="B89" s="87" t="inlineStr">
        <is>
          <t>+ Périphériques &amp; cashback (D)</t>
        </is>
      </c>
      <c r="C89" s="199">
        <f>INDEX('11. Arbitrage'!F:F,MATCH("TOTAL NET DIRIGEANT APRÈS FISCALITÉ (€)",'11. Arbitrage'!B:B,0))</f>
        <v/>
      </c>
      <c r="D89" s="89">
        <f>INDEX('11. Arbitrage'!F:F,MATCH("TOTAL NET DIRIGEANT APRÈS FISCALITÉ (€)",'11. Arbitrage'!B:B,0))-INDEX('11. Arbitrage'!E:E,MATCH("TOTAL NET DIRIGEANT APRÈS FISCALITÉ (€)",'11. Arbitrage'!B:B,0))</f>
        <v/>
      </c>
      <c r="E89" s="88">
        <f>C89-INDEX('11. Arbitrage'!C:C,MATCH("TOTAL NET DIRIGEANT APRÈS FISCALITÉ (€)",'11. Arbitrage'!B:B,0))</f>
        <v/>
      </c>
    </row>
    <row r="103">
      <c r="B103" s="90" t="inlineStr">
        <is>
          <t xml:space="preserve">Document préparé par : </t>
        </is>
      </c>
      <c r="C103" s="48">
        <f>INDEX('5. Profil'!C:C,MATCH("Expert-comptable en charge",'5. Profil'!B:B,0))</f>
        <v/>
      </c>
    </row>
    <row r="104">
      <c r="B104" s="90" t="inlineStr">
        <is>
          <t xml:space="preserve">Cabinet : </t>
        </is>
      </c>
      <c r="C104" s="48">
        <f>INDEX('5. Profil'!C:C,MATCH("Cabinet",'5. Profil'!B:B,0))</f>
        <v/>
      </c>
    </row>
    <row r="105">
      <c r="B105" s="90" t="inlineStr">
        <is>
          <t>Date :</t>
        </is>
      </c>
      <c r="C105" s="91">
        <f>INDEX('5. Profil'!C:C,MATCH("Date de la simulation",'5. Profil'!B:B,0))</f>
        <v/>
      </c>
    </row>
    <row r="107" ht="21.75" customHeight="1">
      <c r="B107" s="133" t="inlineStr">
        <is>
          <t>💼 PLACEMENT DU NET DIRIGEANT - COMPARAISON ENVELOPPES À 5 ANS</t>
        </is>
      </c>
    </row>
    <row r="108" ht="31.5" customHeight="1">
      <c r="B108" s="142" t="inlineStr">
        <is>
          <t>Une fois la rémunération brute optimisée, où placer le net dirigeant disponible ? Comparaison de 4 enveloppes patrimoniales sur 5 ans, montant placé = 10 000 € (paramétrable).</t>
        </is>
      </c>
    </row>
    <row r="109">
      <c r="B109" s="33" t="inlineStr">
        <is>
          <t>Montant placé (€)</t>
        </is>
      </c>
      <c r="C109" s="203" t="n">
        <v>10000</v>
      </c>
    </row>
    <row r="110">
      <c r="B110" s="33" t="inlineStr">
        <is>
          <t>Horizon (années)</t>
        </is>
      </c>
      <c r="C110" s="93" t="n">
        <v>5</v>
      </c>
    </row>
    <row r="111">
      <c r="B111" s="33" t="inlineStr">
        <is>
          <t>Rendement annuel brut hypothèse (%)</t>
        </is>
      </c>
      <c r="C111" s="204" t="n">
        <v>0.04</v>
      </c>
    </row>
    <row r="113" ht="24" customHeight="1">
      <c r="B113" s="95" t="inlineStr">
        <is>
          <t>Enveloppe</t>
        </is>
      </c>
      <c r="C113" s="95" t="inlineStr">
        <is>
          <t>Versement (€)</t>
        </is>
      </c>
      <c r="D113" s="95" t="inlineStr">
        <is>
          <t>Valeur brute (€)</t>
        </is>
      </c>
      <c r="E113" s="95" t="inlineStr">
        <is>
          <t>Fiscalité de sortie</t>
        </is>
      </c>
      <c r="F113" s="95" t="inlineStr">
        <is>
          <t>Net disponible (€)</t>
        </is>
      </c>
    </row>
    <row r="114" ht="37.5" customHeight="1">
      <c r="B114" s="87" t="inlineStr">
        <is>
          <t>CTO - Compte-titres ordinaire</t>
        </is>
      </c>
      <c r="C114" s="205">
        <f>C109</f>
        <v/>
      </c>
      <c r="D114" s="205">
        <f>(C109*(1+C111)^C110)</f>
        <v/>
      </c>
      <c r="E114" s="158" t="inlineStr">
        <is>
          <t>PFU 31,4 % sur les gains</t>
        </is>
      </c>
      <c r="F114" s="201">
        <f>C109+((C109*(1+C111)^C110)-C109)*(1-TX_PFU)</f>
        <v/>
      </c>
    </row>
    <row r="115" ht="37.5" customHeight="1">
      <c r="B115" s="87" t="inlineStr">
        <is>
          <t>PEA - après 5 ans</t>
        </is>
      </c>
      <c r="C115" s="205">
        <f>C109</f>
        <v/>
      </c>
      <c r="D115" s="205">
        <f>(C109*(1+C111)^C110)</f>
        <v/>
      </c>
      <c r="E115" s="158" t="inlineStr">
        <is>
          <t>Exonération IR sur PV, prélèvements sociaux 17,2 %</t>
        </is>
      </c>
      <c r="F115" s="201">
        <f>IF(C110&gt;=5,C109+((C109*(1+C111)^C110)-C109)*(1-0.172),C109+((C109*(1+C111)^C110)-C109)*(1-TX_PFU))</f>
        <v/>
      </c>
    </row>
    <row r="116" ht="37.5" customHeight="1">
      <c r="B116" s="87" t="inlineStr">
        <is>
          <t>Assurance-vie - après 8 ans</t>
        </is>
      </c>
      <c r="C116" s="205">
        <f>C109</f>
        <v/>
      </c>
      <c r="D116" s="205">
        <f>(C109*(1+C111)^C110)</f>
        <v/>
      </c>
      <c r="E116" s="158" t="inlineStr">
        <is>
          <t>Abattement 4 600 € (célib) / 9 200 € (couple) + PFU réduit 7,5 % + PS 17,2 %</t>
        </is>
      </c>
      <c r="F116" s="201">
        <f>IF(C110&gt;=8,C109+((C109*(1+C111)^C110)-C109)*(1-0.172)-MAX(0,((C109*(1+C111)^C110)-C109)-IF(SITUATION="Marié / pacsé",9200,4600))*0.075,C109+((C109*(1+C111)^C110)-C109)*(1-TX_PFU))</f>
        <v/>
      </c>
    </row>
    <row r="117" ht="37.5" customHeight="1">
      <c r="B117" s="87" t="inlineStr">
        <is>
          <t>PER individuel - sortie en capital</t>
        </is>
      </c>
      <c r="C117" s="205">
        <f>C109</f>
        <v/>
      </c>
      <c r="D117" s="205">
        <f>(C109*(1+C111)^C110)</f>
        <v/>
      </c>
      <c r="E117" s="158" t="inlineStr">
        <is>
          <t>Déduction à l'entrée + IR barème sortie sur capital + PS 17,2 % sur gains</t>
        </is>
      </c>
      <c r="F117" s="201">
        <f>(C109*(1+C111)^C110)*(1-MAX(IFERROR(TX_IR_MOY_ASS,0.3),0.2))-((C109*(1+C111)^C110)-C109)*0.172</f>
        <v/>
      </c>
    </row>
    <row r="119" ht="24" customHeight="1">
      <c r="B119" s="97" t="inlineStr">
        <is>
          <t>Meilleure enveloppe selon hypothèses ci-dessus</t>
        </is>
      </c>
      <c r="C119" s="157">
        <f>INDEX(B114:B117,MATCH(MAX(F114:F117),F114:F117,0))</f>
        <v/>
      </c>
      <c r="D119" s="175" t="n"/>
      <c r="E119" s="175" t="n"/>
      <c r="F119" s="175" t="n"/>
    </row>
    <row r="121">
      <c r="B121" s="156" t="inlineStr">
        <is>
          <t>💡 Pour interpréter ce tableau :</t>
        </is>
      </c>
    </row>
    <row r="122">
      <c r="B122" s="156" t="inlineStr">
        <is>
          <t xml:space="preserve">  • Hypothèse simplificatrice : rendement constant identique pour les 4 enveloppes.</t>
        </is>
      </c>
    </row>
    <row r="123">
      <c r="B123" s="156" t="inlineStr">
        <is>
          <t xml:space="preserve">  • CTO subit une taxation annuelle implicite ; modélisé ici comme taxation finale, qui sur-estime le net (effet capitalisation).</t>
        </is>
      </c>
    </row>
    <row r="124">
      <c r="B124" s="156" t="inlineStr">
        <is>
          <t xml:space="preserve">  • Assurance-vie : l'abattement 4 600/9 200 € est annuel - étalé sur plusieurs sorties, l'avantage est cumulable.</t>
        </is>
      </c>
    </row>
    <row r="125">
      <c r="B125" s="156" t="inlineStr">
        <is>
          <t xml:space="preserve">  • PER : l'économie d'IR à l'entrée n'est PAS double-comptée - elle est censée avoir déjà été récupérée à l'année du versement.</t>
        </is>
      </c>
    </row>
    <row r="126">
      <c r="B126" s="156" t="inlineStr">
        <is>
          <t xml:space="preserve">  • Le choix dépend aussi de : succession (assurance-vie 152 500 € par bénéficiaire), liquidité, allocation cible.</t>
        </is>
      </c>
    </row>
    <row r="129" ht="21.75" customHeight="1">
      <c r="B129" s="133" t="inlineStr">
        <is>
          <t>📊 COMPOSITION DU NET DIRIGEANT PAR STRATÉGIE</t>
        </is>
      </c>
    </row>
    <row r="130">
      <c r="B130" s="29" t="inlineStr">
        <is>
          <t>Composante</t>
        </is>
      </c>
      <c r="C130" s="21" t="inlineStr">
        <is>
          <t>Stratégie A</t>
        </is>
      </c>
      <c r="D130" s="21" t="inlineStr">
        <is>
          <t>Stratégie B</t>
        </is>
      </c>
      <c r="E130" s="21" t="inlineStr">
        <is>
          <t>Stratégie C</t>
        </is>
      </c>
      <c r="F130" s="21" t="inlineStr">
        <is>
          <t>Stratégie D</t>
        </is>
      </c>
    </row>
    <row r="131">
      <c r="B131" s="87" t="inlineStr">
        <is>
          <t>Net salaire après IR</t>
        </is>
      </c>
      <c r="C131" s="205">
        <f>IFERROR(INDEX('11. Arbitrage'!C:C,MATCH("Net salaire après IR (€)",'11. Arbitrage'!B:B,0)),0)</f>
        <v/>
      </c>
      <c r="D131" s="205">
        <f>IFERROR(INDEX('11. Arbitrage'!D:D,MATCH("Net salaire après IR (€)",'11. Arbitrage'!B:B,0)),0)</f>
        <v/>
      </c>
      <c r="E131" s="205">
        <f>IFERROR(INDEX('11. Arbitrage'!E:E,MATCH("Net salaire après IR (€)",'11. Arbitrage'!B:B,0)),0)</f>
        <v/>
      </c>
      <c r="F131" s="205">
        <f>IFERROR(INDEX('11. Arbitrage'!F:F,MATCH("Net salaire après IR (€)",'11. Arbitrage'!B:B,0)),0)</f>
        <v/>
      </c>
    </row>
    <row r="132">
      <c r="B132" s="87" t="inlineStr">
        <is>
          <t>Net dividendes</t>
        </is>
      </c>
      <c r="C132" s="205">
        <f>IFERROR(INDEX('11. Arbitrage'!C:C,MATCH("Net dividendes après IS, cotis. (TNS) et PFU/IR (€)",'11. Arbitrage'!B:B,0)),0)</f>
        <v/>
      </c>
      <c r="D132" s="205">
        <f>IFERROR(INDEX('11. Arbitrage'!D:D,MATCH("Net dividendes après IS, cotis. (TNS) et PFU/IR (€)",'11. Arbitrage'!B:B,0)),0)</f>
        <v/>
      </c>
      <c r="E132" s="205">
        <f>IFERROR(INDEX('11. Arbitrage'!E:E,MATCH("Net dividendes après IS, cotis. (TNS) et PFU/IR (€)",'11. Arbitrage'!B:B,0)),0)</f>
        <v/>
      </c>
      <c r="F132" s="205">
        <f>IFERROR(INDEX('11. Arbitrage'!F:F,MATCH("Net dividendes après IS, cotis. (TNS) et PFU/IR (€)",'11. Arbitrage'!B:B,0)),0)</f>
        <v/>
      </c>
    </row>
    <row r="133">
      <c r="B133" s="87" t="inlineStr">
        <is>
          <t>Net épargne salariale</t>
        </is>
      </c>
      <c r="C133" s="205">
        <f>IFERROR(INDEX('11. Arbitrage'!C:C,MATCH("Net épargne salariale &amp; PER (€)",'11. Arbitrage'!B:B,0)),0)</f>
        <v/>
      </c>
      <c r="D133" s="205">
        <f>IFERROR(INDEX('11. Arbitrage'!D:D,MATCH("Net épargne salariale &amp; PER (€)",'11. Arbitrage'!B:B,0)),0)</f>
        <v/>
      </c>
      <c r="E133" s="205">
        <f>IFERROR(INDEX('11. Arbitrage'!E:E,MATCH("Net épargne salariale &amp; PER (€)",'11. Arbitrage'!B:B,0)),0)</f>
        <v/>
      </c>
      <c r="F133" s="205">
        <f>IFERROR(INDEX('11. Arbitrage'!F:F,MATCH("Net épargne salariale &amp; PER (€)",'11. Arbitrage'!B:B,0)),0)</f>
        <v/>
      </c>
    </row>
    <row r="134">
      <c r="B134" s="87" t="inlineStr">
        <is>
          <t>Net périphériques</t>
        </is>
      </c>
      <c r="C134" s="205">
        <f>IFERROR(INDEX('11. Arbitrage'!C:C,MATCH("Net périphériques &amp; cashback (€)",'11. Arbitrage'!B:B,0)),0)</f>
        <v/>
      </c>
      <c r="D134" s="205">
        <f>IFERROR(INDEX('11. Arbitrage'!D:D,MATCH("Net périphériques &amp; cashback (€)",'11. Arbitrage'!B:B,0)),0)</f>
        <v/>
      </c>
      <c r="E134" s="205">
        <f>IFERROR(INDEX('11. Arbitrage'!E:E,MATCH("Net périphériques &amp; cashback (€)",'11. Arbitrage'!B:B,0)),0)</f>
        <v/>
      </c>
      <c r="F134" s="205">
        <f>IFERROR(INDEX('11. Arbitrage'!F:F,MATCH("Net périphériques &amp; cashback (€)",'11. Arbitrage'!B:B,0)),0)</f>
        <v/>
      </c>
    </row>
    <row r="135">
      <c r="B135" s="73" t="inlineStr">
        <is>
          <t>TOTAL</t>
        </is>
      </c>
      <c r="C135" s="200">
        <f>SUM(C131:C134)</f>
        <v/>
      </c>
      <c r="D135" s="200">
        <f>SUM(D131:D134)</f>
        <v/>
      </c>
      <c r="E135" s="200">
        <f>SUM(E131:E134)</f>
        <v/>
      </c>
      <c r="F135" s="200">
        <f>SUM(F131:F134)</f>
        <v/>
      </c>
    </row>
    <row r="161" ht="21.75" customHeight="1">
      <c r="B161" s="133" t="inlineStr">
        <is>
          <t>🎯 PROFIL COMPARÉ DES 4 STRATÉGIES - RADAR 6 DIMENSIONS</t>
        </is>
      </c>
    </row>
    <row r="162">
      <c r="B162" s="29" t="inlineStr">
        <is>
          <t>Dimension</t>
        </is>
      </c>
      <c r="C162" s="21" t="inlineStr">
        <is>
          <t>Strat. A</t>
        </is>
      </c>
      <c r="D162" s="21" t="inlineStr">
        <is>
          <t>Strat. B</t>
        </is>
      </c>
      <c r="E162" s="21" t="inlineStr">
        <is>
          <t>Strat. C</t>
        </is>
      </c>
      <c r="F162" s="21" t="inlineStr">
        <is>
          <t>Strat. D</t>
        </is>
      </c>
    </row>
    <row r="163">
      <c r="B163" s="33" t="inlineStr">
        <is>
          <t>Net dirigeant immédiat</t>
        </is>
      </c>
      <c r="C163" s="98">
        <f>IFERROR(C135/MAX(C135:F135)*100,0)</f>
        <v/>
      </c>
      <c r="D163" s="98">
        <f>IFERROR(D135/MAX(C135:F135)*100,0)</f>
        <v/>
      </c>
      <c r="E163" s="98">
        <f>IFERROR(E135/MAX(C135:F135)*100,0)</f>
        <v/>
      </c>
      <c r="F163" s="98">
        <f>IFERROR(F135/MAX(C135:F135)*100,0)</f>
        <v/>
      </c>
    </row>
    <row r="164">
      <c r="B164" s="33" t="inlineStr">
        <is>
          <t>Protection sociale</t>
        </is>
      </c>
      <c r="C164" s="98">
        <f>IFERROR(C131/C135*100,0)</f>
        <v/>
      </c>
      <c r="D164" s="98">
        <f>IFERROR(D131/D135*100,0)</f>
        <v/>
      </c>
      <c r="E164" s="98">
        <f>IFERROR(E131/E135*100,0)</f>
        <v/>
      </c>
      <c r="F164" s="98">
        <f>IFERROR(F131/F135*100,0)</f>
        <v/>
      </c>
    </row>
    <row r="165">
      <c r="B165" s="33" t="inlineStr">
        <is>
          <t>Capitalisation 5 ans</t>
        </is>
      </c>
      <c r="C165" s="98">
        <f>IFERROR((C133+C132)/C135*100,0)</f>
        <v/>
      </c>
      <c r="D165" s="98">
        <f>IFERROR((D133+D132)/D135*100,0)</f>
        <v/>
      </c>
      <c r="E165" s="98">
        <f>IFERROR((E133+E132)/E135*100,0)</f>
        <v/>
      </c>
      <c r="F165" s="98">
        <f>IFERROR((F133+F132)/F135*100,0)</f>
        <v/>
      </c>
    </row>
    <row r="166">
      <c r="B166" s="33" t="inlineStr">
        <is>
          <t>Robustesse fiscale</t>
        </is>
      </c>
      <c r="C166" s="98">
        <f>IFERROR(100-C132/C135*100,0)</f>
        <v/>
      </c>
      <c r="D166" s="98">
        <f>IFERROR(100-D132/D135*100,0)</f>
        <v/>
      </c>
      <c r="E166" s="98">
        <f>IFERROR(100-E132/E135*100,0)</f>
        <v/>
      </c>
      <c r="F166" s="98">
        <f>IFERROR(100-F132/F135*100,0)</f>
        <v/>
      </c>
    </row>
    <row r="167">
      <c r="B167" s="33" t="inlineStr">
        <is>
          <t>Simplicité administrative</t>
        </is>
      </c>
      <c r="C167" s="98" t="n">
        <v>100</v>
      </c>
      <c r="D167" s="98" t="n">
        <v>70</v>
      </c>
      <c r="E167" s="98" t="n">
        <v>50</v>
      </c>
      <c r="F167" s="98" t="n">
        <v>30</v>
      </c>
    </row>
    <row r="168">
      <c r="B168" s="33" t="inlineStr">
        <is>
          <t>Sécurité URSSAF</t>
        </is>
      </c>
      <c r="C168" s="98">
        <f>100</f>
        <v/>
      </c>
      <c r="D168" s="98">
        <f>IF(AND(TOG_CASHBACK="Oui",CASHBACK_MODE="Standard / non documenté"),60,90)</f>
        <v/>
      </c>
      <c r="E168" s="98">
        <f>IF(AND(TOG_CASHBACK="Oui",CASHBACK_MODE="Standard / non documenté"),60,90)</f>
        <v/>
      </c>
      <c r="F168" s="98">
        <f>IF(AND(TOG_CASHBACK="Oui",CASHBACK_MODE="Standard / non documenté"),60,90)</f>
        <v/>
      </c>
    </row>
    <row r="196" ht="15" customHeight="1">
      <c r="A196" s="134" t="inlineStr">
        <is>
          <t>Outil indicatif à usage professionnel - ne se substitue pas à un conseil personnalisé. Paramètres fiscaux à mettre à jour annuellement (cf. feuille « 13. Sources »).</t>
        </is>
      </c>
    </row>
  </sheetData>
  <mergeCells count="51">
    <mergeCell ref="B4:F4"/>
    <mergeCell ref="B126:F126"/>
    <mergeCell ref="A196:I196"/>
    <mergeCell ref="B129:F129"/>
    <mergeCell ref="C119:F119"/>
    <mergeCell ref="B62:F62"/>
    <mergeCell ref="D41:F41"/>
    <mergeCell ref="B125:F125"/>
    <mergeCell ref="B25:F25"/>
    <mergeCell ref="B31:F31"/>
    <mergeCell ref="B121:F121"/>
    <mergeCell ref="B122:F122"/>
    <mergeCell ref="D53:F53"/>
    <mergeCell ref="B27:F27"/>
    <mergeCell ref="D43:F43"/>
    <mergeCell ref="B70:F70"/>
    <mergeCell ref="D37:F37"/>
    <mergeCell ref="B48:F48"/>
    <mergeCell ref="B161:F161"/>
    <mergeCell ref="D56:F56"/>
    <mergeCell ref="B107:F107"/>
    <mergeCell ref="D39:F39"/>
    <mergeCell ref="B13:F13"/>
    <mergeCell ref="D55:F55"/>
    <mergeCell ref="D42:F42"/>
    <mergeCell ref="D51:F51"/>
    <mergeCell ref="D38:F38"/>
    <mergeCell ref="B29:F29"/>
    <mergeCell ref="A1:G1"/>
    <mergeCell ref="B34:F34"/>
    <mergeCell ref="B28:F28"/>
    <mergeCell ref="D54:F54"/>
    <mergeCell ref="D35:F35"/>
    <mergeCell ref="D50:F50"/>
    <mergeCell ref="B108:F108"/>
    <mergeCell ref="D49:F49"/>
    <mergeCell ref="D44:F44"/>
    <mergeCell ref="D60:F60"/>
    <mergeCell ref="B84:F84"/>
    <mergeCell ref="D69:F69"/>
    <mergeCell ref="B30:F30"/>
    <mergeCell ref="B20:F20"/>
    <mergeCell ref="B124:F124"/>
    <mergeCell ref="D40:F40"/>
    <mergeCell ref="D36:F36"/>
    <mergeCell ref="A2:G2"/>
    <mergeCell ref="D45:F45"/>
    <mergeCell ref="B123:F123"/>
    <mergeCell ref="D52:F52"/>
    <mergeCell ref="B26:F26"/>
    <mergeCell ref="D57:F57"/>
  </mergeCells>
  <conditionalFormatting sqref="C36:C45">
    <cfRule type="expression" priority="2" dxfId="1">
      <formula>C36="✅"</formula>
    </cfRule>
    <cfRule type="expression" priority="3" dxfId="7">
      <formula>C36="⚠"</formula>
    </cfRule>
    <cfRule type="expression" priority="4" dxfId="0">
      <formula>C36="🔴"</formula>
    </cfRule>
  </conditionalFormatting>
  <hyperlinks>
    <hyperlink ref="I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FFED7D31"/>
    <outlinePr summaryBelow="1" summaryRight="1"/>
    <pageSetUpPr fitToPage="1"/>
  </sheetPr>
  <dimension ref="A1:H6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8" customWidth="1" min="3" max="4"/>
    <col width="14" customWidth="1" min="5" max="5"/>
    <col width="38" customWidth="1" min="6" max="6"/>
  </cols>
  <sheetData>
    <row r="1" ht="31.5" customHeight="1">
      <c r="A1" s="135" t="inlineStr">
        <is>
          <t>S.  Comparateur 2 scénarios</t>
        </is>
      </c>
      <c r="H1" s="9" t="inlineStr">
        <is>
          <t>↩ Retour sommaire</t>
        </is>
      </c>
    </row>
    <row r="2" ht="19.5" customHeight="1">
      <c r="A2" s="136" t="inlineStr">
        <is>
          <t>Saisir deux jeux d'inputs côte à côte pour analyser un arbitrage, une sensibilité ou comparer deux dirigeants.</t>
        </is>
      </c>
    </row>
    <row r="4" ht="21.75" customHeight="1">
      <c r="B4" s="133" t="inlineStr">
        <is>
          <t>1. INPUTS DES DEUX SCÉNARIOS</t>
        </is>
      </c>
    </row>
    <row r="5">
      <c r="B5" s="21" t="inlineStr">
        <is>
          <t>Paramètre</t>
        </is>
      </c>
      <c r="C5" s="21" t="inlineStr">
        <is>
          <t>Scénario A</t>
        </is>
      </c>
      <c r="D5" s="21" t="inlineStr">
        <is>
          <t>Scénario B</t>
        </is>
      </c>
      <c r="F5" s="21" t="inlineStr">
        <is>
          <t>Commentaire</t>
        </is>
      </c>
    </row>
    <row r="6">
      <c r="B6" s="33" t="inlineStr">
        <is>
          <t>Libellé du scénario</t>
        </is>
      </c>
      <c r="C6" s="153" t="inlineStr">
        <is>
          <t>Enveloppe 100k</t>
        </is>
      </c>
      <c r="D6" s="153" t="inlineStr">
        <is>
          <t>Enveloppe 150k</t>
        </is>
      </c>
      <c r="F6" s="154" t="inlineStr">
        <is>
          <t>Ex : 'Dirigeant 1' / 'Dirigeant 2', 'Avant participation' / 'Après participation', 'Enveloppe 120k' / 'Enveloppe 150k'.</t>
        </is>
      </c>
    </row>
    <row r="7">
      <c r="B7" s="33" t="inlineStr">
        <is>
          <t>Situation familiale</t>
        </is>
      </c>
      <c r="C7" s="153" t="inlineStr">
        <is>
          <t>Marié / pacsé</t>
        </is>
      </c>
      <c r="D7" s="153" t="inlineStr">
        <is>
          <t>Marié / pacsé</t>
        </is>
      </c>
    </row>
    <row r="8">
      <c r="B8" s="33" t="inlineStr">
        <is>
          <t>Parts fiscales</t>
        </is>
      </c>
      <c r="C8" s="54" t="n">
        <v>2</v>
      </c>
      <c r="D8" s="54" t="n">
        <v>2</v>
      </c>
    </row>
    <row r="9">
      <c r="B9" s="33" t="inlineStr">
        <is>
          <t>Régime social</t>
        </is>
      </c>
      <c r="C9" s="153" t="inlineStr">
        <is>
          <t>Assimilé salarié</t>
        </is>
      </c>
      <c r="D9" s="153" t="inlineStr">
        <is>
          <t>Assimilé salarié</t>
        </is>
      </c>
    </row>
    <row r="10">
      <c r="B10" s="33" t="inlineStr">
        <is>
          <t>Salaire brut annuel (€)</t>
        </is>
      </c>
      <c r="C10" s="188" t="n">
        <v>100000</v>
      </c>
      <c r="D10" s="188" t="n">
        <v>150000</v>
      </c>
    </row>
    <row r="11">
      <c r="B11" s="33" t="inlineStr">
        <is>
          <t>Dividendes bruts distribués (€)</t>
        </is>
      </c>
      <c r="C11" s="188" t="n">
        <v>10000</v>
      </c>
      <c r="D11" s="188" t="n">
        <v>10000</v>
      </c>
    </row>
    <row r="12">
      <c r="B12" s="33" t="inlineStr">
        <is>
          <t>Épargne salariale &amp; PER (capitalisable, €)</t>
        </is>
      </c>
      <c r="C12" s="188" t="n">
        <v>5000</v>
      </c>
      <c r="D12" s="188" t="n">
        <v>5000</v>
      </c>
      <c r="F12" s="154" t="inlineStr">
        <is>
          <t>Total : Participation + Intéressement + Abondement PEE/PER coll + PER indiv.</t>
        </is>
      </c>
    </row>
    <row r="13">
      <c r="B13" s="33" t="inlineStr">
        <is>
          <t>Périphériques consommés (TR/CESU/AN, €)</t>
        </is>
      </c>
      <c r="C13" s="188" t="n">
        <v>2000</v>
      </c>
      <c r="D13" s="188" t="n">
        <v>2000</v>
      </c>
    </row>
    <row r="15" ht="21.75" customHeight="1">
      <c r="B15" s="133" t="inlineStr">
        <is>
          <t>2. RÉSULTATS PAR SCÉNARIO (modèle simplifié)</t>
        </is>
      </c>
    </row>
    <row r="16">
      <c r="B16" s="21" t="inlineStr">
        <is>
          <t>Élément</t>
        </is>
      </c>
      <c r="C16" s="21" t="inlineStr">
        <is>
          <t>Scénario A</t>
        </is>
      </c>
      <c r="D16" s="21" t="inlineStr">
        <is>
          <t>Scénario B</t>
        </is>
      </c>
      <c r="E16" s="21" t="inlineStr">
        <is>
          <t>Écart</t>
        </is>
      </c>
      <c r="F16" s="21" t="inlineStr">
        <is>
          <t>Méthodologie</t>
        </is>
      </c>
    </row>
    <row r="17" ht="21.75" customHeight="1">
      <c r="B17" s="33" t="inlineStr">
        <is>
          <t>Net salaire après cotisations</t>
        </is>
      </c>
      <c r="C17" s="205">
        <f>IF(C9="TNS",C10*(1-TX_TNS/(1+TX_TNS)),IF(C9="TNS (libéral)",C10*(1-TX_LIB/(1+TX_LIB)),C10*(1-TX_SALARIAL-ASSIETTE_CSG_SAL*TX_CSG_CRDS_ACT)))</f>
        <v/>
      </c>
      <c r="D17" s="205">
        <f>IF(D9="TNS",D10*(1-TX_TNS/(1+TX_TNS)),IF(D9="TNS (libéral)",D10*(1-TX_LIB/(1+TX_LIB)),D10*(1-TX_SALARIAL-ASSIETTE_CSG_SAL*TX_CSG_CRDS_ACT)))</f>
        <v/>
      </c>
      <c r="E17" s="88">
        <f>D17-C17</f>
        <v/>
      </c>
      <c r="F17" s="142" t="inlineStr">
        <is>
          <t>Brut × (1 − taux cotisations social moyen selon régime).</t>
        </is>
      </c>
    </row>
    <row r="18" ht="21.75" customHeight="1">
      <c r="B18" s="33" t="inlineStr">
        <is>
          <t>Revenu imposable approximé</t>
        </is>
      </c>
      <c r="C18" s="205">
        <f>IF(C9="TNS",C10*(1-TX_TNS/(1+TX_TNS)),IF(C9="TNS (libéral)",C10*(1-TX_LIB/(1+TX_LIB)),C10*(1-TX_SALARIAL-ASSIETTE_CSG_SAL*TX_CSG_CRDS_ACT)))*0.9</f>
        <v/>
      </c>
      <c r="D18" s="205">
        <f>IF(D9="TNS",D10*(1-TX_TNS/(1+TX_TNS)),IF(D9="TNS (libéral)",D10*(1-TX_LIB/(1+TX_LIB)),D10*(1-TX_SALARIAL-ASSIETTE_CSG_SAL*TX_CSG_CRDS_ACT)))*0.9</f>
        <v/>
      </c>
      <c r="E18" s="88">
        <f>D18-C18</f>
        <v/>
      </c>
      <c r="F18" s="142" t="inlineStr">
        <is>
          <t>Net après cotis × 0,9 (abattement 10 % approximé sans plafond).</t>
        </is>
      </c>
    </row>
    <row r="19" ht="21.75" customHeight="1">
      <c r="B19" s="33" t="inlineStr">
        <is>
          <t>IR au barème (sans plafonnement QF)</t>
        </is>
      </c>
      <c r="C19" s="205">
        <f>(C8)*(IF((C18/C8)&lt;=IR_PLAFOND_T1,0,IF((C18/C8)&lt;=IR_PLAFOND_T2,((C18/C8)-IR_PLAFOND_T1)*IR_TAUX_T2,IF((C18/C8)&lt;=IR_PLAFOND_T3,(IR_PLAFOND_T2-IR_PLAFOND_T1)*IR_TAUX_T2+((C18/C8)-IR_PLAFOND_T2)*IR_TAUX_T3,IF((C18/C8)&lt;=IR_PLAFOND_T4,(IR_PLAFOND_T2-IR_PLAFOND_T1)*IR_TAUX_T2+(IR_PLAFOND_T3-IR_PLAFOND_T2)*IR_TAUX_T3+((C18/C8)-IR_PLAFOND_T3)*IR_TAUX_T4,(IR_PLAFOND_T2-IR_PLAFOND_T1)*IR_TAUX_T2+(IR_PLAFOND_T3-IR_PLAFOND_T2)*IR_TAUX_T3+(IR_PLAFOND_T4-IR_PLAFOND_T3)*IR_TAUX_T4+((C18/C8)-IR_PLAFOND_T4)*IR_TAUX_T5)))))</f>
        <v/>
      </c>
      <c r="D19" s="205">
        <f>(D8)*(IF((D18/D8)&lt;=IR_PLAFOND_T1,0,IF((D18/D8)&lt;=IR_PLAFOND_T2,((D18/D8)-IR_PLAFOND_T1)*IR_TAUX_T2,IF((D18/D8)&lt;=IR_PLAFOND_T3,(IR_PLAFOND_T2-IR_PLAFOND_T1)*IR_TAUX_T2+((D18/D8)-IR_PLAFOND_T2)*IR_TAUX_T3,IF((D18/D8)&lt;=IR_PLAFOND_T4,(IR_PLAFOND_T2-IR_PLAFOND_T1)*IR_TAUX_T2+(IR_PLAFOND_T3-IR_PLAFOND_T2)*IR_TAUX_T3+((D18/D8)-IR_PLAFOND_T3)*IR_TAUX_T4,(IR_PLAFOND_T2-IR_PLAFOND_T1)*IR_TAUX_T2+(IR_PLAFOND_T3-IR_PLAFOND_T2)*IR_TAUX_T3+(IR_PLAFOND_T4-IR_PLAFOND_T3)*IR_TAUX_T4+((D18/D8)-IR_PLAFOND_T4)*IR_TAUX_T5)))))</f>
        <v/>
      </c>
      <c r="E19" s="88">
        <f>D19-C19</f>
        <v/>
      </c>
      <c r="F19" s="142" t="inlineStr">
        <is>
          <t>Barème 2026 indexé +0,9 %. Plafonnement QF non modélisé ici.</t>
        </is>
      </c>
    </row>
    <row r="20" ht="21.75" customHeight="1">
      <c r="B20" s="33" t="inlineStr">
        <is>
          <t>Net salaire après IR</t>
        </is>
      </c>
      <c r="C20" s="205">
        <f>C17-C19</f>
        <v/>
      </c>
      <c r="D20" s="205">
        <f>D17-D19</f>
        <v/>
      </c>
      <c r="E20" s="88">
        <f>D20-C20</f>
        <v/>
      </c>
      <c r="F20" s="142" t="inlineStr">
        <is>
          <t>Net après cotis − IR foyer.</t>
        </is>
      </c>
    </row>
    <row r="21" ht="21.75" customHeight="1">
      <c r="B21" s="33" t="inlineStr">
        <is>
          <t>Net dividendes (IS + PFU)</t>
        </is>
      </c>
      <c r="C21" s="205">
        <f>IF(C11&gt;0,(C11-MIN(C11,IS_PLAF_REDUIT)*TX_IS_REDUIT-MAX(0,C11-IS_PLAF_REDUIT)*TX_IS_NORMAL)*(1-TX_PFU),0)</f>
        <v/>
      </c>
      <c r="D21" s="205">
        <f>IF(D11&gt;0,(D11-MIN(D11,IS_PLAF_REDUIT)*TX_IS_REDUIT-MAX(0,D11-IS_PLAF_REDUIT)*TX_IS_NORMAL)*(1-TX_PFU),0)</f>
        <v/>
      </c>
      <c r="E21" s="88">
        <f>D21-C21</f>
        <v/>
      </c>
      <c r="F21" s="142" t="inlineStr">
        <is>
          <t>Bénéfice → IS 15 % jusqu'à 42 500 €, 25 % au-delà → distribution × (1 − PFU 31,4 %).</t>
        </is>
      </c>
    </row>
    <row r="22" ht="21.75" customHeight="1">
      <c r="B22" s="33" t="inlineStr">
        <is>
          <t>Net épargne salariale &amp; PER</t>
        </is>
      </c>
      <c r="C22" s="205">
        <f>C12/1.05*(1-TX_CSG_CRDS_ACT)</f>
        <v/>
      </c>
      <c r="D22" s="205">
        <f>D12/1.05*(1-TX_CSG_CRDS_ACT)</f>
        <v/>
      </c>
      <c r="E22" s="88">
        <f>D22-C22</f>
        <v/>
      </c>
      <c r="F22" s="142" t="inlineStr">
        <is>
          <t>Forfait social 5 % moyen + CSG/CRDS 9,7 %.</t>
        </is>
      </c>
    </row>
    <row r="23" ht="21.75" customHeight="1">
      <c r="B23" s="33" t="inlineStr">
        <is>
          <t>Net périphériques (TR/CESU/AN)</t>
        </is>
      </c>
      <c r="C23" s="205">
        <f>C13*0.95</f>
        <v/>
      </c>
      <c r="D23" s="205">
        <f>D13*0.95</f>
        <v/>
      </c>
      <c r="E23" s="88">
        <f>D23-C23</f>
        <v/>
      </c>
      <c r="F23" s="142" t="inlineStr">
        <is>
          <t>Efficacité 95 % (peu de CSG/IR sur ces dispositifs).</t>
        </is>
      </c>
    </row>
    <row r="25" ht="24" customHeight="1">
      <c r="B25" s="73" t="inlineStr">
        <is>
          <t>TOTAL NET DIRIGEANT</t>
        </is>
      </c>
      <c r="C25" s="200">
        <f>C20+C21+C22+C23</f>
        <v/>
      </c>
      <c r="D25" s="200">
        <f>D20+D21+D22+D23</f>
        <v/>
      </c>
      <c r="E25" s="99">
        <f>D25-C25</f>
        <v/>
      </c>
    </row>
    <row r="26">
      <c r="B26" s="33" t="inlineStr">
        <is>
          <t>Écart relatif (%)</t>
        </is>
      </c>
      <c r="E26" s="100">
        <f>IFERROR((D25-C25)/C25,0)</f>
        <v/>
      </c>
    </row>
    <row r="27" ht="21.75" customHeight="1">
      <c r="B27" s="4" t="inlineStr">
        <is>
          <t>Scénario gagnant</t>
        </is>
      </c>
      <c r="C27" s="160">
        <f>IF(D25&gt;C25,"→ "&amp;D6,IF(D25&lt;C25,"← "&amp;C6,"= équivalent"))</f>
        <v/>
      </c>
      <c r="D27" s="175" t="n"/>
      <c r="E27" s="175" t="n"/>
    </row>
    <row r="29" ht="21.75" customHeight="1">
      <c r="B29" s="133" t="inlineStr">
        <is>
          <t>3. PROJECTION 5 ANS - PATRIMOINE CUMULÉ</t>
        </is>
      </c>
    </row>
    <row r="30">
      <c r="B30" s="21" t="inlineStr">
        <is>
          <t>Année</t>
        </is>
      </c>
      <c r="C30" s="21" t="inlineStr">
        <is>
          <t>Scénario A</t>
        </is>
      </c>
      <c r="D30" s="21" t="inlineStr">
        <is>
          <t>Scénario B</t>
        </is>
      </c>
      <c r="E30" s="21" t="inlineStr">
        <is>
          <t>Écart</t>
        </is>
      </c>
    </row>
    <row r="31">
      <c r="B31" s="84" t="inlineStr">
        <is>
          <t>Année 1</t>
        </is>
      </c>
      <c r="C31" s="182">
        <f>IFERROR(C25*((1+(IFERROR(C12/(C12+C13),0)*RDT_EPARGNE+(1-IFERROR(C12/(C12+C13),0))*RDT_CASH))^1-1)/(IFERROR(C12/(C12+C13),0)*RDT_EPARGNE+(1-IFERROR(C12/(C12+C13),0))*RDT_CASH)*(1+(IFERROR(C12/(C12+C13),0)*RDT_EPARGNE+(1-IFERROR(C12/(C12+C13),0))*RDT_CASH)),C25*1)</f>
        <v/>
      </c>
      <c r="D31" s="199">
        <f>IFERROR(D25*((1+(IFERROR(D12/(D12+D13),0)*RDT_EPARGNE+(1-IFERROR(D12/(D12+D13),0))*RDT_CASH))^1-1)/(IFERROR(D12/(D12+D13),0)*RDT_EPARGNE+(1-IFERROR(D12/(D12+D13),0))*RDT_CASH)*(1+(IFERROR(D12/(D12+D13),0)*RDT_EPARGNE+(1-IFERROR(D12/(D12+D13),0))*RDT_CASH)),D25*1)</f>
        <v/>
      </c>
      <c r="E31" s="99">
        <f>D31-C31</f>
        <v/>
      </c>
    </row>
    <row r="32">
      <c r="B32" s="84" t="inlineStr">
        <is>
          <t>Année 2</t>
        </is>
      </c>
      <c r="C32" s="182">
        <f>IFERROR(C25*((1+(IFERROR(C12/(C12+C13),0)*RDT_EPARGNE+(1-IFERROR(C12/(C12+C13),0))*RDT_CASH))^2-1)/(IFERROR(C12/(C12+C13),0)*RDT_EPARGNE+(1-IFERROR(C12/(C12+C13),0))*RDT_CASH)*(1+(IFERROR(C12/(C12+C13),0)*RDT_EPARGNE+(1-IFERROR(C12/(C12+C13),0))*RDT_CASH)),C25*2)</f>
        <v/>
      </c>
      <c r="D32" s="199">
        <f>IFERROR(D25*((1+(IFERROR(D12/(D12+D13),0)*RDT_EPARGNE+(1-IFERROR(D12/(D12+D13),0))*RDT_CASH))^2-1)/(IFERROR(D12/(D12+D13),0)*RDT_EPARGNE+(1-IFERROR(D12/(D12+D13),0))*RDT_CASH)*(1+(IFERROR(D12/(D12+D13),0)*RDT_EPARGNE+(1-IFERROR(D12/(D12+D13),0))*RDT_CASH)),D25*2)</f>
        <v/>
      </c>
      <c r="E32" s="99">
        <f>D32-C32</f>
        <v/>
      </c>
    </row>
    <row r="33">
      <c r="B33" s="84" t="inlineStr">
        <is>
          <t>Année 3</t>
        </is>
      </c>
      <c r="C33" s="182">
        <f>IFERROR(C25*((1+(IFERROR(C12/(C12+C13),0)*RDT_EPARGNE+(1-IFERROR(C12/(C12+C13),0))*RDT_CASH))^3-1)/(IFERROR(C12/(C12+C13),0)*RDT_EPARGNE+(1-IFERROR(C12/(C12+C13),0))*RDT_CASH)*(1+(IFERROR(C12/(C12+C13),0)*RDT_EPARGNE+(1-IFERROR(C12/(C12+C13),0))*RDT_CASH)),C25*3)</f>
        <v/>
      </c>
      <c r="D33" s="199">
        <f>IFERROR(D25*((1+(IFERROR(D12/(D12+D13),0)*RDT_EPARGNE+(1-IFERROR(D12/(D12+D13),0))*RDT_CASH))^3-1)/(IFERROR(D12/(D12+D13),0)*RDT_EPARGNE+(1-IFERROR(D12/(D12+D13),0))*RDT_CASH)*(1+(IFERROR(D12/(D12+D13),0)*RDT_EPARGNE+(1-IFERROR(D12/(D12+D13),0))*RDT_CASH)),D25*3)</f>
        <v/>
      </c>
      <c r="E33" s="99">
        <f>D33-C33</f>
        <v/>
      </c>
    </row>
    <row r="34">
      <c r="B34" s="84" t="inlineStr">
        <is>
          <t>Année 4</t>
        </is>
      </c>
      <c r="C34" s="182">
        <f>IFERROR(C25*((1+(IFERROR(C12/(C12+C13),0)*RDT_EPARGNE+(1-IFERROR(C12/(C12+C13),0))*RDT_CASH))^4-1)/(IFERROR(C12/(C12+C13),0)*RDT_EPARGNE+(1-IFERROR(C12/(C12+C13),0))*RDT_CASH)*(1+(IFERROR(C12/(C12+C13),0)*RDT_EPARGNE+(1-IFERROR(C12/(C12+C13),0))*RDT_CASH)),C25*4)</f>
        <v/>
      </c>
      <c r="D34" s="199">
        <f>IFERROR(D25*((1+(IFERROR(D12/(D12+D13),0)*RDT_EPARGNE+(1-IFERROR(D12/(D12+D13),0))*RDT_CASH))^4-1)/(IFERROR(D12/(D12+D13),0)*RDT_EPARGNE+(1-IFERROR(D12/(D12+D13),0))*RDT_CASH)*(1+(IFERROR(D12/(D12+D13),0)*RDT_EPARGNE+(1-IFERROR(D12/(D12+D13),0))*RDT_CASH)),D25*4)</f>
        <v/>
      </c>
      <c r="E34" s="99">
        <f>D34-C34</f>
        <v/>
      </c>
    </row>
    <row r="35">
      <c r="B35" s="84" t="inlineStr">
        <is>
          <t>Année 5</t>
        </is>
      </c>
      <c r="C35" s="182">
        <f>IFERROR(C25*((1+(IFERROR(C12/(C12+C13),0)*RDT_EPARGNE+(1-IFERROR(C12/(C12+C13),0))*RDT_CASH))^5-1)/(IFERROR(C12/(C12+C13),0)*RDT_EPARGNE+(1-IFERROR(C12/(C12+C13),0))*RDT_CASH)*(1+(IFERROR(C12/(C12+C13),0)*RDT_EPARGNE+(1-IFERROR(C12/(C12+C13),0))*RDT_CASH)),C25*5)</f>
        <v/>
      </c>
      <c r="D35" s="199">
        <f>IFERROR(D25*((1+(IFERROR(D12/(D12+D13),0)*RDT_EPARGNE+(1-IFERROR(D12/(D12+D13),0))*RDT_CASH))^5-1)/(IFERROR(D12/(D12+D13),0)*RDT_EPARGNE+(1-IFERROR(D12/(D12+D13),0))*RDT_CASH)*(1+(IFERROR(D12/(D12+D13),0)*RDT_EPARGNE+(1-IFERROR(D12/(D12+D13),0))*RDT_CASH)),D25*5)</f>
        <v/>
      </c>
      <c r="E35" s="99">
        <f>D35-C35</f>
        <v/>
      </c>
    </row>
    <row r="47" ht="21.75" customHeight="1">
      <c r="B47" s="133" t="inlineStr">
        <is>
          <t>4. INTERPRÉTATION &amp; USAGE</t>
        </is>
      </c>
    </row>
    <row r="48">
      <c r="B48" s="156" t="inlineStr">
        <is>
          <t>💡 Cas d'usage typiques :</t>
        </is>
      </c>
    </row>
    <row r="49">
      <c r="B49" s="156" t="inlineStr">
        <is>
          <t xml:space="preserve">  • Couple à 2 dirigeants : Scénario A = dirigeant principal, B = conjoint dirigeant.</t>
        </is>
      </c>
    </row>
    <row r="50">
      <c r="B50" s="156" t="inlineStr">
        <is>
          <t xml:space="preserve">  • Sensibilité enveloppe : A = enveloppe basse, B = enveloppe haute → mesurer l'effet marginal.</t>
        </is>
      </c>
    </row>
    <row r="51">
      <c r="B51" s="156" t="inlineStr">
        <is>
          <t xml:space="preserve">  • Avant/après dispositif : A = sans participation, B = avec participation 8 000 €.</t>
        </is>
      </c>
    </row>
    <row r="52">
      <c r="B52" s="156" t="inlineStr">
        <is>
          <t xml:space="preserve">  • Comparaison régime : A = Assimilé salarié, B = TNS → coût social vs IR.</t>
        </is>
      </c>
    </row>
    <row r="53">
      <c r="B53" s="156" t="n"/>
    </row>
    <row r="54">
      <c r="B54" s="156" t="inlineStr">
        <is>
          <t>⚠ Précisions méthodologiques :</t>
        </is>
      </c>
    </row>
    <row r="55">
      <c r="B55" s="156" t="inlineStr">
        <is>
          <t xml:space="preserve">  • Modèle simplifié autonome - pas de CEHR/CDHR/QF plafonné (vs modules détaillés).</t>
        </is>
      </c>
    </row>
    <row r="56">
      <c r="B56" s="156" t="inlineStr">
        <is>
          <t xml:space="preserve">  • Convient pour cadrage stratégique ; pour chiffrage déclaratif, repasser par les modules 7-10.</t>
        </is>
      </c>
    </row>
    <row r="57">
      <c r="B57" s="156" t="inlineStr">
        <is>
          <t xml:space="preserve">  • IR au barème pur, plafonnement QF négligé (impact &lt; 2 % pour les revenus &lt; 200k).</t>
        </is>
      </c>
    </row>
    <row r="60" ht="15" customHeight="1">
      <c r="A60" s="134" t="inlineStr">
        <is>
          <t>Outil indicatif à usage professionnel - ne se substitue pas à un conseil personnalisé. Paramètres fiscaux à mettre à jour annuellement (cf. feuille « 13. Sources »).</t>
        </is>
      </c>
    </row>
  </sheetData>
  <mergeCells count="18">
    <mergeCell ref="B4:F4"/>
    <mergeCell ref="B53:F53"/>
    <mergeCell ref="B29:F29"/>
    <mergeCell ref="A1:G1"/>
    <mergeCell ref="C27:E27"/>
    <mergeCell ref="B47:F47"/>
    <mergeCell ref="B48:F48"/>
    <mergeCell ref="B54:F54"/>
    <mergeCell ref="B15:F15"/>
    <mergeCell ref="B55:F55"/>
    <mergeCell ref="B49:F49"/>
    <mergeCell ref="B51:F51"/>
    <mergeCell ref="A60:H60"/>
    <mergeCell ref="A2:G2"/>
    <mergeCell ref="B50:F50"/>
    <mergeCell ref="B56:F56"/>
    <mergeCell ref="B57:F57"/>
    <mergeCell ref="B52:F52"/>
  </mergeCells>
  <dataValidations count="2">
    <dataValidation sqref="C7:D7" showDropDown="0" showInputMessage="0" showErrorMessage="0" allowBlank="0" type="list">
      <formula1>"Célibataire / divorcé / veuf,Marié / pacsé"</formula1>
      <formula2>0</formula2>
    </dataValidation>
    <dataValidation sqref="C9:D9" showDropDown="0" showInputMessage="0" showErrorMessage="0" allowBlank="0" type="list">
      <formula1>"Assimilé salarié,TNS,TNS (libéral),Salarié"</formula1>
      <formula2>0</formula2>
    </dataValidation>
  </dataValidations>
  <hyperlinks>
    <hyperlink ref="H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FFA6A6A6"/>
    <outlinePr summaryBelow="1" summaryRight="1"/>
    <pageSetUpPr/>
  </sheetPr>
  <dimension ref="A1:H97"/>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4" customWidth="1" min="3" max="7"/>
    <col width="42" customWidth="1" min="8" max="8"/>
  </cols>
  <sheetData>
    <row r="1" ht="31.5" customHeight="1">
      <c r="A1" s="135" t="inlineStr">
        <is>
          <t>📚.  Détail du calcul fiscal - pédagogie</t>
        </is>
      </c>
      <c r="H1" s="9" t="inlineStr">
        <is>
          <t>↩ Retour sommaire</t>
        </is>
      </c>
    </row>
    <row r="2" ht="19.5" customHeight="1">
      <c r="A2" s="136" t="inlineStr">
        <is>
          <t>Décomposition complète du calcul d'impôt sur le revenu, tranche par tranche, pour le cas saisi en Profil. Permet à l'expert-comptable d'expliquer chaque ligne au client.</t>
        </is>
      </c>
    </row>
    <row r="4" ht="21.75" customHeight="1">
      <c r="B4" s="133" t="inlineStr">
        <is>
          <t>📋 CAS EN COURS (lien Profil)</t>
        </is>
      </c>
    </row>
    <row r="5">
      <c r="B5" s="87" t="inlineStr">
        <is>
          <t>Situation familiale</t>
        </is>
      </c>
      <c r="C5" s="101">
        <f>SITUATION</f>
        <v/>
      </c>
    </row>
    <row r="6">
      <c r="B6" s="87" t="inlineStr">
        <is>
          <t>Parts fiscales</t>
        </is>
      </c>
      <c r="C6" s="83">
        <f>PARTS</f>
        <v/>
      </c>
    </row>
    <row r="7">
      <c r="B7" s="87" t="inlineStr">
        <is>
          <t>Situation particulière</t>
        </is>
      </c>
      <c r="C7" s="101">
        <f>IFERROR(SITUATION_PART,"Aucune (cas général)")</f>
        <v/>
      </c>
    </row>
    <row r="8">
      <c r="B8" s="87" t="inlineStr">
        <is>
          <t>Régime social</t>
        </is>
      </c>
      <c r="C8" s="101">
        <f>REGIME_SOCIAL</f>
        <v/>
      </c>
    </row>
    <row r="9">
      <c r="B9" s="87" t="inlineStr">
        <is>
          <t>Autres revenus du foyer</t>
        </is>
      </c>
      <c r="C9" s="199">
        <f>AUTRES_REV</f>
        <v/>
      </c>
    </row>
    <row r="10">
      <c r="B10" s="87" t="inlineStr">
        <is>
          <t>Dividendes foyer (au PFU)</t>
        </is>
      </c>
      <c r="C10" s="199">
        <f>DIVIDENDES_FOYER</f>
        <v/>
      </c>
    </row>
    <row r="11">
      <c r="B11" s="87" t="inlineStr">
        <is>
          <t>Rémunération brute annuelle (module actif)</t>
        </is>
      </c>
      <c r="C11" s="199">
        <f>IFERROR(INDEX(INDIRECT("'"&amp;IF(REGIME_SOCIAL="TNS","8. TNS",IF(REGIME_SOCIAL="TNS (libéral)","9. Libéral",IF(REGIME_SOCIAL="Salarié","10. Salarié","7. Assimilé salarié")))&amp;"'!C:C"),MATCH("Rémunération brute annuelle (€)",INDIRECT("'"&amp;IF(REGIME_SOCIAL="TNS","8. TNS",IF(REGIME_SOCIAL="TNS (libéral)","9. Libéral",IF(REGIME_SOCIAL="Salarié","10. Salarié","7. Assimilé salarié")))&amp;"'!B:B"),0)),IFERROR(INDEX(INDIRECT("'"&amp;IF(REGIME_SOCIAL="TNS","8. TNS",IF(REGIME_SOCIAL="TNS (libéral)","9. Libéral",IF(REGIME_SOCIAL="Salarié","10. Salarié","7. Assimilé salarié")))&amp;"'!C:C"),MATCH("Salaire brut annuel (€)",INDIRECT("'"&amp;IF(REGIME_SOCIAL="TNS","8. TNS",IF(REGIME_SOCIAL="TNS (libéral)","9. Libéral",IF(REGIME_SOCIAL="Salarié","10. Salarié","7. Assimilé salarié")))&amp;"'!B:B"),0)),0))</f>
        <v/>
      </c>
    </row>
    <row r="13" ht="21.75" customHeight="1">
      <c r="B13" s="133" t="inlineStr">
        <is>
          <t>1. PASSAGE BRUT → NET IMPOSABLE</t>
        </is>
      </c>
    </row>
    <row r="14">
      <c r="B14" s="21" t="inlineStr">
        <is>
          <t>Élément</t>
        </is>
      </c>
      <c r="C14" s="21" t="inlineStr">
        <is>
          <t>Montant (€)</t>
        </is>
      </c>
      <c r="D14" s="21" t="inlineStr">
        <is>
          <t>Taux</t>
        </is>
      </c>
      <c r="H14" s="21" t="inlineStr">
        <is>
          <t>Explication</t>
        </is>
      </c>
    </row>
    <row r="15">
      <c r="B15" s="33" t="inlineStr">
        <is>
          <t>Brut (rémunération annuelle)</t>
        </is>
      </c>
      <c r="C15" s="199">
        <f>C11</f>
        <v/>
      </c>
      <c r="H15" s="158" t="inlineStr">
        <is>
          <t>Saisi en Profil §1 ou dans le module actif.</t>
        </is>
      </c>
    </row>
    <row r="16" ht="36" customHeight="1">
      <c r="B16" s="33" t="inlineStr">
        <is>
          <t>(–) Cotisations sociales</t>
        </is>
      </c>
      <c r="C16" s="205">
        <f>-C15*IF(REGIME_SOCIAL="TNS",TX_TNS/(1+TX_TNS),IF(REGIME_SOCIAL="TNS (libéral)",TX_LIB/(1+TX_LIB),TX_SALARIAL+ASSIETTE_CSG_SAL*TX_CSG_CRDS_ACT))</f>
        <v/>
      </c>
      <c r="D16" s="206">
        <f>IF(REGIME_SOCIAL="TNS",TX_TNS/(1+TX_TNS),IF(REGIME_SOCIAL="TNS (libéral)",TX_LIB/(1+TX_LIB),TX_SALARIAL+ASSIETTE_CSG_SAL*TX_CSG_CRDS_ACT))</f>
        <v/>
      </c>
      <c r="H16" s="158" t="inlineStr">
        <is>
          <t>Assimilé salarié : ~22 % (URSSAF, retraite ARRCO/AGIRC, prévoyance, chômage cadre). TNS : ~45 % du revenu net (assiette différente). Libéral : ~45 % (caisses CIPAV/CARMF/CARCDSF…).</t>
        </is>
      </c>
    </row>
    <row r="17">
      <c r="B17" s="4" t="inlineStr">
        <is>
          <t>→ Net après cotisations sociales</t>
        </is>
      </c>
      <c r="C17" s="199">
        <f>C15+C16</f>
        <v/>
      </c>
    </row>
    <row r="18" ht="36" customHeight="1">
      <c r="B18" s="33" t="inlineStr">
        <is>
          <t>(+) CSG non déductible + CRDS réintégrée (assimilé/salarié)</t>
        </is>
      </c>
      <c r="C18" s="205">
        <f>IF(OR(REGIME_SOCIAL="Assimilé salarié",REGIME_SOCIAL="Salarié",REGIME_SOCIAL="Assimilé salarié (libéral)"),C15*ASSIETTE_CSG_SAL*(0.024+0.005),0)</f>
        <v/>
      </c>
      <c r="H18" s="158" t="inlineStr">
        <is>
          <t>Pour les salariés et assimilés salariés : la CSG non déductible (2,4 %) et la CRDS (0,5 %) sont réintégrées au revenu imposable (CGI art. 1417). Pour les TNS, ces prélèvements n'existent pas sous cette forme.</t>
        </is>
      </c>
    </row>
    <row r="19">
      <c r="B19" s="4" t="inlineStr">
        <is>
          <t>→ Revenu salarial imposable</t>
        </is>
      </c>
      <c r="C19" s="199">
        <f>C17+C18</f>
        <v/>
      </c>
    </row>
    <row r="20" ht="36" customHeight="1">
      <c r="B20" s="33" t="inlineStr">
        <is>
          <t>(–) Abattement 10 % (frais professionnels, plafonné 14 426 €)</t>
        </is>
      </c>
      <c r="C20" s="205">
        <f>-MIN(C19*0.1,14426)</f>
        <v/>
      </c>
      <c r="D20" s="206" t="inlineStr">
        <is>
          <t>10 %</t>
        </is>
      </c>
      <c r="H20" s="158" t="inlineStr">
        <is>
          <t>Abattement forfaitaire pour frais professionnels. Plafonné à 14 426 € en 2026 (LF 2026 art. 4). Option pour les frais réels si &gt; 10 % (cas chauffeurs longs trajets, etc.).</t>
        </is>
      </c>
    </row>
    <row r="21" ht="21.75" customHeight="1">
      <c r="B21" s="73" t="inlineStr">
        <is>
          <t>→ Revenu imposable (catégorie traitements et salaires)</t>
        </is>
      </c>
      <c r="C21" s="200">
        <f>C19+C20</f>
        <v/>
      </c>
    </row>
    <row r="22" ht="23.25" customHeight="1">
      <c r="B22" s="33" t="inlineStr">
        <is>
          <t>(+) Autres revenus du foyer</t>
        </is>
      </c>
      <c r="C22" s="205">
        <f>AUTRES_REV</f>
        <v/>
      </c>
      <c r="H22" s="158" t="inlineStr">
        <is>
          <t>Saisis en Profil §3 - typiquement conjoint, BIC, BNC complémentaire.</t>
        </is>
      </c>
    </row>
    <row r="23" ht="21.75" customHeight="1">
      <c r="B23" s="73" t="inlineStr">
        <is>
          <t>→ Revenu net imposable global du foyer</t>
        </is>
      </c>
      <c r="C23" s="200">
        <f>C21+C22</f>
        <v/>
      </c>
    </row>
    <row r="25" ht="21.75" customHeight="1">
      <c r="B25" s="133" t="inlineStr">
        <is>
          <t>2. IR TRANCHE PAR TRANCHE (barème 2026, revenus 2025)</t>
        </is>
      </c>
    </row>
    <row r="26">
      <c r="B26" s="156" t="inlineStr">
        <is>
          <t>Quotient familial (revenu / parts) = revenu net imposable / nombre de parts</t>
        </is>
      </c>
    </row>
    <row r="27">
      <c r="B27" s="4" t="inlineStr">
        <is>
          <t>Quotient familial (par part)</t>
        </is>
      </c>
      <c r="C27" s="199">
        <f>C23/PARTS</f>
        <v/>
      </c>
    </row>
    <row r="29" ht="26.25" customHeight="1">
      <c r="B29" s="21" t="inlineStr">
        <is>
          <t>Tranche</t>
        </is>
      </c>
      <c r="C29" s="21" t="inlineStr">
        <is>
          <t>Borne basse (€)</t>
        </is>
      </c>
      <c r="D29" s="21" t="inlineStr">
        <is>
          <t>Borne haute (€)</t>
        </is>
      </c>
      <c r="E29" s="21" t="inlineStr">
        <is>
          <t>Taux</t>
        </is>
      </c>
      <c r="F29" s="21" t="inlineStr">
        <is>
          <t>Montant dans tranche (€)</t>
        </is>
      </c>
      <c r="G29" s="21" t="inlineStr">
        <is>
          <t>IR de la tranche (€)</t>
        </is>
      </c>
    </row>
    <row r="30">
      <c r="B30" s="103" t="inlineStr">
        <is>
          <t>Tranche 1 - non imposable</t>
        </is>
      </c>
      <c r="C30" s="207" t="n">
        <v>0</v>
      </c>
      <c r="D30" s="207">
        <f>IR_PLAFOND_T1</f>
        <v/>
      </c>
      <c r="E30" s="208" t="n">
        <v>0</v>
      </c>
      <c r="F30" s="209">
        <f>MAX(0,MIN(C27,(IR_PLAFOND_T1))-0)</f>
        <v/>
      </c>
      <c r="G30" s="209">
        <f>F30*E30</f>
        <v/>
      </c>
    </row>
    <row r="31">
      <c r="B31" s="107" t="inlineStr">
        <is>
          <t>Tranche 2 - 11 %</t>
        </is>
      </c>
      <c r="C31" s="210">
        <f>IR_PLAFOND_T1</f>
        <v/>
      </c>
      <c r="D31" s="210">
        <f>IR_PLAFOND_T2</f>
        <v/>
      </c>
      <c r="E31" s="211">
        <f>IR_TAUX_T2</f>
        <v/>
      </c>
      <c r="F31" s="212">
        <f>MAX(0,MIN(C27,(IR_PLAFOND_T2))-(IR_PLAFOND_T1))</f>
        <v/>
      </c>
      <c r="G31" s="212">
        <f>F31*E31</f>
        <v/>
      </c>
    </row>
    <row r="32">
      <c r="B32" s="111" t="inlineStr">
        <is>
          <t>Tranche 3 - 30 %</t>
        </is>
      </c>
      <c r="C32" s="213">
        <f>IR_PLAFOND_T2</f>
        <v/>
      </c>
      <c r="D32" s="213">
        <f>IR_PLAFOND_T3</f>
        <v/>
      </c>
      <c r="E32" s="214">
        <f>IR_TAUX_T3</f>
        <v/>
      </c>
      <c r="F32" s="215">
        <f>MAX(0,MIN(C27,(IR_PLAFOND_T3))-(IR_PLAFOND_T2))</f>
        <v/>
      </c>
      <c r="G32" s="215">
        <f>F32*E32</f>
        <v/>
      </c>
    </row>
    <row r="33">
      <c r="B33" s="115" t="inlineStr">
        <is>
          <t>Tranche 4 - 41 %</t>
        </is>
      </c>
      <c r="C33" s="216">
        <f>IR_PLAFOND_T3</f>
        <v/>
      </c>
      <c r="D33" s="216">
        <f>IR_PLAFOND_T4</f>
        <v/>
      </c>
      <c r="E33" s="217">
        <f>IR_TAUX_T4</f>
        <v/>
      </c>
      <c r="F33" s="218">
        <f>MAX(0,MIN(C27,(IR_PLAFOND_T4))-(IR_PLAFOND_T3))</f>
        <v/>
      </c>
      <c r="G33" s="218">
        <f>F33*E33</f>
        <v/>
      </c>
    </row>
    <row r="34">
      <c r="B34" s="119" t="inlineStr">
        <is>
          <t>Tranche 5 - 45 %</t>
        </is>
      </c>
      <c r="C34" s="219">
        <f>IR_PLAFOND_T4</f>
        <v/>
      </c>
      <c r="D34" s="121" t="inlineStr">
        <is>
          <t>∞</t>
        </is>
      </c>
      <c r="E34" s="220">
        <f>IR_TAUX_T5</f>
        <v/>
      </c>
      <c r="F34" s="221">
        <f>MAX(0,MIN(C27,(99999999))-(IR_PLAFOND_T4))</f>
        <v/>
      </c>
      <c r="G34" s="221">
        <f>F34*E34</f>
        <v/>
      </c>
    </row>
    <row r="35">
      <c r="B35" s="73" t="inlineStr">
        <is>
          <t>IR par part fiscale (somme tranches)</t>
        </is>
      </c>
      <c r="G35" s="200">
        <f>SUM(G30:G34)</f>
        <v/>
      </c>
    </row>
    <row r="36">
      <c r="B36" s="73" t="inlineStr">
        <is>
          <t>IR foyer brut (× nb de parts)</t>
        </is>
      </c>
      <c r="G36" s="200">
        <f>G35*PARTS</f>
        <v/>
      </c>
    </row>
    <row r="58" ht="21.75" customHeight="1">
      <c r="B58" s="133" t="inlineStr">
        <is>
          <t>3. QUOTIENT FAMILIAL - AVANTAGE &amp; PLAFONNEMENT</t>
        </is>
      </c>
    </row>
    <row r="59" ht="31.5" customHeight="1">
      <c r="B59" s="33" t="inlineStr">
        <is>
          <t>IR théorique SANS quotient familial (parts de base)</t>
        </is>
      </c>
      <c r="C59" s="205">
        <f>(IF((C23/(IF(SITUATION="Marié / pacsé",2,1)))&lt;=IR_PLAFOND_T1,0,IF((C23/(IF(SITUATION="Marié / pacsé",2,1)))&lt;=IR_PLAFOND_T2,((C23/(IF(SITUATION="Marié / pacsé",2,1)))-IR_PLAFOND_T1)*IR_TAUX_T2,IF((C23/(IF(SITUATION="Marié / pacsé",2,1)))&lt;=IR_PLAFOND_T3,(IR_PLAFOND_T2-IR_PLAFOND_T1)*IR_TAUX_T2+((C23/(IF(SITUATION="Marié / pacsé",2,1)))-IR_PLAFOND_T2)*IR_TAUX_T3,IF((C23/(IF(SITUATION="Marié / pacsé",2,1)))&lt;=IR_PLAFOND_T4,(IR_PLAFOND_T2-IR_PLAFOND_T1)*IR_TAUX_T2+(IR_PLAFOND_T3-IR_PLAFOND_T2)*IR_TAUX_T3+((C23/(IF(SITUATION="Marié / pacsé",2,1)))-IR_PLAFOND_T3)*IR_TAUX_T4,(IR_PLAFOND_T2-IR_PLAFOND_T1)*IR_TAUX_T2+(IR_PLAFOND_T3-IR_PLAFOND_T2)*IR_TAUX_T3+(IR_PLAFOND_T4-IR_PLAFOND_T3)*IR_TAUX_T4+((C23/(IF(SITUATION="Marié / pacsé",2,1)))-IR_PLAFOND_T4)*IR_TAUX_T5)))))*(IF(SITUATION="Marié / pacsé",2,1))</f>
        <v/>
      </c>
      <c r="H59" s="158" t="inlineStr">
        <is>
          <t>Calcul IR avec parts = {1 célibataire, 2 marié}, ignorant les enfants.</t>
        </is>
      </c>
    </row>
    <row r="60">
      <c r="B60" s="33" t="inlineStr">
        <is>
          <t>IR théorique AVEC quotient familial (toutes les parts)</t>
        </is>
      </c>
      <c r="C60" s="205">
        <f>G36</f>
        <v/>
      </c>
      <c r="H60" s="158" t="inlineStr">
        <is>
          <t>Calcul avec toutes les parts du foyer (incluant enfants).</t>
        </is>
      </c>
    </row>
    <row r="61">
      <c r="B61" s="78" t="inlineStr">
        <is>
          <t>Économie brute du QF (avant plafonnement)</t>
        </is>
      </c>
      <c r="C61" s="201">
        <f>C59-C60</f>
        <v/>
      </c>
    </row>
    <row r="62" ht="48" customHeight="1">
      <c r="B62" s="33" t="inlineStr">
        <is>
          <t>Plafond de l'avantage QF (selon situation particulière)</t>
        </is>
      </c>
      <c r="C62" s="205">
        <f>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H62" s="158" t="inlineStr">
        <is>
          <t>Cas général : 1 807 € par demi-part excédentaire. Parent isolé : 4 262 € sur la 1ère demi-part + 1 807 € au-delà. Veuf avec enfants : 5 625 € + 1 807 € au-delà. Invalide / ancien combattant : 3 608 € + 1 807 € au-delà.</t>
        </is>
      </c>
    </row>
    <row r="63">
      <c r="B63" s="124" t="inlineStr">
        <is>
          <t>Perte d'avantage (excédent réintégré à l'IR)</t>
        </is>
      </c>
      <c r="C63" s="222">
        <f>MAX(0,C61-C62)</f>
        <v/>
      </c>
    </row>
    <row r="64">
      <c r="B64" s="73" t="inlineStr">
        <is>
          <t>→ IR foyer après plafonnement QF</t>
        </is>
      </c>
      <c r="C64" s="200">
        <f>C60+C63</f>
        <v/>
      </c>
    </row>
    <row r="66" ht="21.75" customHeight="1">
      <c r="B66" s="133" t="inlineStr">
        <is>
          <t>4. CEHR - CONTRIBUTION EXCEPTIONNELLE HAUTS REVENUS</t>
        </is>
      </c>
    </row>
    <row r="67">
      <c r="B67" s="33" t="inlineStr">
        <is>
          <t>RFR de référence (revenu net imposable + dividendes au PFU)</t>
        </is>
      </c>
      <c r="C67" s="199">
        <f>C23+DIVIDENDES_FOYER</f>
        <v/>
      </c>
    </row>
    <row r="68">
      <c r="B68" s="21" t="inlineStr">
        <is>
          <t>Tranche CEHR</t>
        </is>
      </c>
      <c r="C68" s="21" t="inlineStr">
        <is>
          <t>Seuil bas (€)</t>
        </is>
      </c>
      <c r="D68" s="21" t="inlineStr">
        <is>
          <t>Seuil haut (€)</t>
        </is>
      </c>
      <c r="E68" s="21" t="inlineStr">
        <is>
          <t>Taux</t>
        </is>
      </c>
      <c r="F68" s="21" t="inlineStr">
        <is>
          <t>CEHR (€)</t>
        </is>
      </c>
    </row>
    <row r="69">
      <c r="B69" s="33" t="inlineStr">
        <is>
          <t>Tranche 3 %</t>
        </is>
      </c>
      <c r="C69" s="205">
        <f>IF(SITUATION="Marié / pacsé",CEHR_SEUIL_M1,CEHR_SEUIL_C1)</f>
        <v/>
      </c>
      <c r="D69" s="205">
        <f>IF(SITUATION="Marié / pacsé",CEHR_SEUIL_M2,CEHR_SEUIL_C2)</f>
        <v/>
      </c>
      <c r="E69" s="206">
        <f>CEHR_TX_1</f>
        <v/>
      </c>
      <c r="F69" s="199">
        <f>MAX(0,MIN(C67,IF(SITUATION="Marié / pacsé",CEHR_SEUIL_M2,CEHR_SEUIL_C2))-IF(SITUATION="Marié / pacsé",CEHR_SEUIL_M1,CEHR_SEUIL_C1))*CEHR_TX_1</f>
        <v/>
      </c>
    </row>
    <row r="70">
      <c r="B70" s="33" t="inlineStr">
        <is>
          <t>Tranche 4 %</t>
        </is>
      </c>
      <c r="C70" s="205">
        <f>IF(SITUATION="Marié / pacsé",CEHR_SEUIL_M2,CEHR_SEUIL_C2)</f>
        <v/>
      </c>
      <c r="D70" s="126" t="inlineStr">
        <is>
          <t>∞</t>
        </is>
      </c>
      <c r="E70" s="206">
        <f>CEHR_TX_2</f>
        <v/>
      </c>
      <c r="F70" s="199">
        <f>MAX(0,C67-IF(SITUATION="Marié / pacsé",CEHR_SEUIL_M2,CEHR_SEUIL_C2))*CEHR_TX_2</f>
        <v/>
      </c>
    </row>
    <row r="71">
      <c r="B71" s="73" t="inlineStr">
        <is>
          <t>CEHR totale</t>
        </is>
      </c>
      <c r="F71" s="200">
        <f>SUM(F69:F70)</f>
        <v/>
      </c>
    </row>
    <row r="73" ht="21.75" customHeight="1">
      <c r="B73" s="133" t="inlineStr">
        <is>
          <t>5. CDHR - CONTRIBUTION DIFFÉRENTIELLE HAUTS REVENUS (LF 2026)</t>
        </is>
      </c>
    </row>
    <row r="74" ht="31.5" customHeight="1">
      <c r="B74" s="33" t="inlineStr">
        <is>
          <t>IR au PFU sur les dividendes (12,8 %)</t>
        </is>
      </c>
      <c r="C74" s="205">
        <f>DIVIDENDES_FOYER*0.128</f>
        <v/>
      </c>
      <c r="H74" s="158" t="inlineStr">
        <is>
          <t>Part IR du PFU 31,4 % (le reste = 18,6 % prélèvements sociaux). S'ajoute à l'IR foyer pour le calcul du dénominateur de la CDHR.</t>
        </is>
      </c>
    </row>
    <row r="75">
      <c r="B75" s="33" t="inlineStr">
        <is>
          <t>Imposition effective totale (IR foyer + CEHR + IR PFU)</t>
        </is>
      </c>
      <c r="C75" s="199">
        <f>C64+F71+C74</f>
        <v/>
      </c>
    </row>
    <row r="76">
      <c r="B76" s="33" t="inlineStr">
        <is>
          <t>Plancher 20 % du RFR (imposition minimum)</t>
        </is>
      </c>
      <c r="C76" s="199">
        <f>C67*CDHR_TAUX_PLANCHER</f>
        <v/>
      </c>
    </row>
    <row r="77">
      <c r="B77" s="33" t="inlineStr">
        <is>
          <t>CDHR théorique (avant lissage) = MAX(0, plancher – imposition)</t>
        </is>
      </c>
      <c r="C77" s="205">
        <f>MAX(0,C76-C75)</f>
        <v/>
      </c>
    </row>
    <row r="78">
      <c r="B78" s="33" t="inlineStr">
        <is>
          <t>Ratio de lissage (zone 250-330k célib / 500-660k marié)</t>
        </is>
      </c>
      <c r="C78" s="223">
        <f>IF(C67&lt;=IF(SITUATION="Marié / pacsé",CDHR_SEUIL_M,CDHR_SEUIL_C),0,MIN(1,MAX(0,(C67-IF(SITUATION="Marié / pacsé",CDHR_SEUIL_M,CDHR_SEUIL_C))/(IF(SITUATION="Marié / pacsé",CDHR_SEUIL_M_HAUT,CDHR_SEUIL_C_HAUT)-IF(SITUATION="Marié / pacsé",CDHR_SEUIL_M,CDHR_SEUIL_C)))))</f>
        <v/>
      </c>
    </row>
    <row r="79">
      <c r="B79" s="78" t="inlineStr">
        <is>
          <t>CDHR finale (théorique × ratio lissage)</t>
        </is>
      </c>
      <c r="C79" s="201">
        <f>C77*C78</f>
        <v/>
      </c>
    </row>
    <row r="81" ht="21.75" customHeight="1">
      <c r="B81" s="133" t="inlineStr">
        <is>
          <t>6. RÉCAP IMPOSITION TOTALE DU FOYER</t>
        </is>
      </c>
    </row>
    <row r="82">
      <c r="B82" s="87" t="inlineStr">
        <is>
          <t>IR foyer (après plafonnement QF)</t>
        </is>
      </c>
      <c r="C82" s="205">
        <f>C64</f>
        <v/>
      </c>
    </row>
    <row r="83">
      <c r="B83" s="87" t="inlineStr">
        <is>
          <t>(+) CEHR</t>
        </is>
      </c>
      <c r="C83" s="205">
        <f>F71</f>
        <v/>
      </c>
    </row>
    <row r="84">
      <c r="B84" s="87" t="inlineStr">
        <is>
          <t>(+) CDHR</t>
        </is>
      </c>
      <c r="C84" s="205">
        <f>C79</f>
        <v/>
      </c>
    </row>
    <row r="85">
      <c r="B85" s="87" t="inlineStr">
        <is>
          <t>(+) IR sur dividendes PFU</t>
        </is>
      </c>
      <c r="C85" s="205">
        <f>C74</f>
        <v/>
      </c>
    </row>
    <row r="86" ht="25.5" customHeight="1">
      <c r="B86" s="128" t="inlineStr">
        <is>
          <t>→ IMPOSITION TOTALE FOYER</t>
        </is>
      </c>
      <c r="C86" s="224">
        <f>SUM(C82:C85)</f>
        <v/>
      </c>
    </row>
    <row r="87">
      <c r="B87" s="78" t="inlineStr">
        <is>
          <t>Taux moyen effectif d'imposition (impôt / RFR)</t>
        </is>
      </c>
      <c r="C87" s="225">
        <f>IFERROR(C86/C67,0)</f>
        <v/>
      </c>
    </row>
    <row r="89">
      <c r="B89" s="156" t="inlineStr">
        <is>
          <t>💡 Comment lire cette feuille :</t>
        </is>
      </c>
    </row>
    <row r="90">
      <c r="B90" s="156" t="inlineStr">
        <is>
          <t xml:space="preserve">  • Toutes les valeurs réagissent automatiquement aux changements en Profil §1-3.</t>
        </is>
      </c>
    </row>
    <row r="91">
      <c r="B91" s="156" t="inlineStr">
        <is>
          <t xml:space="preserve">  • Section 2 : la pyramide visualise quelle tranche du barème porte le plus de poids.</t>
        </is>
      </c>
    </row>
    <row r="92">
      <c r="B92" s="156" t="inlineStr">
        <is>
          <t xml:space="preserve">  • Section 3 : si la « perte d'avantage QF » est non nulle, le QF est plafonné - l'avantage des enfants est limité.</t>
        </is>
      </c>
    </row>
    <row r="93">
      <c r="B93" s="156" t="inlineStr">
        <is>
          <t xml:space="preserve">  • Section 5 : si la CDHR est positive, vous êtes dans la zone des hauts revenus ; le ratio de lissage évite l'effet de seuil brutal.</t>
        </is>
      </c>
    </row>
    <row r="94">
      <c r="B94" s="156" t="inlineStr">
        <is>
          <t xml:space="preserve">  • Le taux moyen effectif d'imposition est l'indicateur clé à communiquer au client : « votre foyer est imposé à X % en moyenne ».</t>
        </is>
      </c>
    </row>
    <row r="97" ht="15" customHeight="1">
      <c r="A97" s="134" t="inlineStr">
        <is>
          <t>Outil indicatif à usage professionnel - ne se substitue pas à un conseil personnalisé. Paramètres fiscaux à mettre à jour annuellement (cf. feuille « 13. Sources »).</t>
        </is>
      </c>
    </row>
  </sheetData>
  <mergeCells count="17">
    <mergeCell ref="B66:H66"/>
    <mergeCell ref="B93:H93"/>
    <mergeCell ref="B94:H94"/>
    <mergeCell ref="A1:G1"/>
    <mergeCell ref="B26:H26"/>
    <mergeCell ref="B58:H58"/>
    <mergeCell ref="B13:H13"/>
    <mergeCell ref="A97:H97"/>
    <mergeCell ref="B4:H4"/>
    <mergeCell ref="B73:H73"/>
    <mergeCell ref="B91:H91"/>
    <mergeCell ref="B92:H92"/>
    <mergeCell ref="A2:G2"/>
    <mergeCell ref="B25:H25"/>
    <mergeCell ref="B90:H90"/>
    <mergeCell ref="B81:H81"/>
    <mergeCell ref="B89:H89"/>
  </mergeCells>
  <hyperlinks>
    <hyperlink ref="H1" location="'1. Garde'!A1" display="↩ Retour sommaire"/>
  </hyperlink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5.xml><?xml version="1.0" encoding="utf-8"?>
<worksheet xmlns="http://schemas.openxmlformats.org/spreadsheetml/2006/main">
  <sheetPr>
    <tabColor rgb="FFA6A6A6"/>
    <outlinePr summaryBelow="1" summaryRight="1"/>
    <pageSetUpPr fitToPage="1"/>
  </sheetPr>
  <dimension ref="A1:H159"/>
  <sheetViews>
    <sheetView showGridLines="0" zoomScaleNormal="100" workbookViewId="0">
      <pane ySplit="3" topLeftCell="A4" activePane="bottomLeft" state="frozen"/>
      <selection pane="bottomLeft" activeCell="A1" sqref="A1"/>
    </sheetView>
  </sheetViews>
  <sheetFormatPr baseColWidth="10" defaultColWidth="8.6640625" defaultRowHeight="14.25"/>
  <cols>
    <col width="4" customWidth="1" min="1" max="1"/>
    <col width="36" customWidth="1" min="2" max="2"/>
    <col width="80" customWidth="1" min="3" max="3"/>
    <col width="4" customWidth="1" min="4" max="4"/>
  </cols>
  <sheetData>
    <row r="1" ht="31.5" customHeight="1">
      <c r="A1" s="135" t="inlineStr">
        <is>
          <t>13.  Sources &amp; disclaimer</t>
        </is>
      </c>
      <c r="H1" s="9" t="inlineStr">
        <is>
          <t>↩ Retour sommaire</t>
        </is>
      </c>
    </row>
    <row r="2" ht="19.5" customHeight="1">
      <c r="A2" s="136" t="inlineStr">
        <is>
          <t>Références légales et limites du modèle.</t>
        </is>
      </c>
    </row>
    <row r="4" ht="21.75" customHeight="1">
      <c r="B4" s="133" t="inlineStr">
        <is>
          <t>SOURCES LÉGALES PAR PARAMÈTRE</t>
        </is>
      </c>
    </row>
    <row r="5" ht="21.75" customHeight="1">
      <c r="B5" s="30" t="inlineStr">
        <is>
          <t>PASS 2026 (48 060 €)</t>
        </is>
      </c>
      <c r="C5" s="158" t="inlineStr">
        <is>
          <t>Arrêté du 22/12/2025 - JORF du 23/12/2025</t>
        </is>
      </c>
    </row>
    <row r="6" ht="21.75" customHeight="1">
      <c r="B6" s="30" t="inlineStr">
        <is>
          <t>Barème IR 2026 (revenus 2025)</t>
        </is>
      </c>
      <c r="C6" s="158" t="inlineStr">
        <is>
          <t>CGI art. 197 - LF 2026 art. 4 (revalorisation +0,9 %)</t>
        </is>
      </c>
    </row>
    <row r="7" ht="21.75" customHeight="1">
      <c r="B7" s="30" t="inlineStr">
        <is>
          <t>Plafonnement quotient familial</t>
        </is>
      </c>
      <c r="C7" s="158" t="inlineStr">
        <is>
          <t>CGI art. 197, I-2° (1 807 €/demi-part 2026)</t>
        </is>
      </c>
    </row>
    <row r="8" ht="21.75" customHeight="1">
      <c r="B8" s="30" t="inlineStr">
        <is>
          <t>CSG/CRDS sur revenus d'activité</t>
        </is>
      </c>
      <c r="C8" s="158" t="inlineStr">
        <is>
          <t>CSS art. L.136-2 et L.136-8 ; ordonnance n°96-50 du 24/01/1996</t>
        </is>
      </c>
    </row>
    <row r="9" ht="21.75" customHeight="1">
      <c r="B9" s="30" t="inlineStr">
        <is>
          <t>Abattement 1,75 % CSG/CRDS (≤ 4 PASS)</t>
        </is>
      </c>
      <c r="C9" s="158" t="inlineStr">
        <is>
          <t>CSS art. L.136-2</t>
        </is>
      </c>
    </row>
    <row r="10" ht="21.75" customHeight="1">
      <c r="B10" s="30" t="inlineStr">
        <is>
          <t>PFU dividendes (12,8 % + 17,2 %)</t>
        </is>
      </c>
      <c r="C10" s="158" t="inlineStr">
        <is>
          <t>CGI art. 200 A</t>
        </is>
      </c>
    </row>
    <row r="11" ht="21.75" customHeight="1">
      <c r="B11" s="30" t="inlineStr">
        <is>
          <t>Abattement 40 % dividendes (option barème)</t>
        </is>
      </c>
      <c r="C11" s="158" t="inlineStr">
        <is>
          <t>CGI art. 158, 3-2°</t>
        </is>
      </c>
    </row>
    <row r="12" ht="21.75" customHeight="1">
      <c r="B12" s="30" t="inlineStr">
        <is>
          <t>Cotisations TNS sur dividendes &gt; 10 %</t>
        </is>
      </c>
      <c r="C12" s="158" t="inlineStr">
        <is>
          <t>CSS art. L.131-6, 3°</t>
        </is>
      </c>
    </row>
    <row r="13" ht="21.75" customHeight="1">
      <c r="B13" s="30" t="inlineStr">
        <is>
          <t>Régime fiscal SEL - dividendes</t>
        </is>
      </c>
      <c r="C13" s="158" t="inlineStr">
        <is>
          <t>BOI-RPPM-RCM-10-20-20-20</t>
        </is>
      </c>
    </row>
    <row r="14" ht="21.75" customHeight="1">
      <c r="B14" s="30" t="inlineStr">
        <is>
          <t>IS - taux réduit 15 % PME</t>
        </is>
      </c>
      <c r="C14" s="158" t="inlineStr">
        <is>
          <t>CGI art. 219, I-b (CA &lt; 10 M€, capital ≥ 75 % personnes physiques)</t>
        </is>
      </c>
    </row>
    <row r="15" ht="21.75" customHeight="1">
      <c r="B15" s="30" t="inlineStr">
        <is>
          <t>Forfait social - exonération PACTE</t>
        </is>
      </c>
      <c r="C15" s="158" t="inlineStr">
        <is>
          <t>CSS art. L.137-15 et L.137-16 - loi PACTE n°2019-486</t>
        </is>
      </c>
    </row>
    <row r="16" ht="21.75" customHeight="1">
      <c r="B16" s="30" t="inlineStr">
        <is>
          <t>Participation - plafond individuel</t>
        </is>
      </c>
      <c r="C16" s="158" t="inlineStr">
        <is>
          <t>C. trav. art. L.3324-5 (75 % PASS)</t>
        </is>
      </c>
    </row>
    <row r="17" ht="21.75" customHeight="1">
      <c r="B17" s="30" t="inlineStr">
        <is>
          <t>Intéressement - plafond</t>
        </is>
      </c>
      <c r="C17" s="158" t="inlineStr">
        <is>
          <t>C. trav. art. L.3314-8 (75 % PASS individuel ; 20 % MS globale)</t>
        </is>
      </c>
    </row>
    <row r="18" ht="21.75" customHeight="1">
      <c r="B18" s="30" t="inlineStr">
        <is>
          <t>Abondement PEE</t>
        </is>
      </c>
      <c r="C18" s="158" t="inlineStr">
        <is>
          <t>C. trav. art. L.3332-11 (8 % PASS, triplement contributions)</t>
        </is>
      </c>
    </row>
    <row r="19" ht="21.75" customHeight="1">
      <c r="B19" s="30" t="inlineStr">
        <is>
          <t>Abondement PER collectif</t>
        </is>
      </c>
      <c r="C19" s="158" t="inlineStr">
        <is>
          <t>C. trav. art. L.3334-6 (16 % PASS)</t>
        </is>
      </c>
    </row>
    <row r="20" ht="21.75" customHeight="1">
      <c r="B20" s="30" t="inlineStr">
        <is>
          <t>PER individuel - plafond déduction</t>
        </is>
      </c>
      <c r="C20" s="158" t="inlineStr">
        <is>
          <t>CGI art. 163 quatervicies</t>
        </is>
      </c>
    </row>
    <row r="21" ht="21.75" customHeight="1">
      <c r="B21" s="30" t="inlineStr">
        <is>
          <t>Avantages en nature - forfait véhicule</t>
        </is>
      </c>
      <c r="C21" s="158" t="inlineStr">
        <is>
          <t>Arrêté du 25/12/2002 modifié (9 % du prix d'achat HT)</t>
        </is>
      </c>
    </row>
    <row r="22" ht="21.75" customHeight="1">
      <c r="B22" s="30" t="inlineStr">
        <is>
          <t>Tickets restaurant - exo 2026 (7,26 €)</t>
        </is>
      </c>
      <c r="C22" s="158" t="inlineStr">
        <is>
          <t>BOI-RSA-CHAMP-20-30-10-10</t>
        </is>
      </c>
    </row>
    <row r="23" ht="21.75" customHeight="1">
      <c r="B23" s="30" t="inlineStr">
        <is>
          <t>CESU préfinancé - exo 2 540 €</t>
        </is>
      </c>
      <c r="C23" s="158" t="inlineStr">
        <is>
          <t>CSS art. L.7233-4 (loi 2024)</t>
        </is>
      </c>
    </row>
    <row r="24" ht="21.75" customHeight="1">
      <c r="B24" s="30" t="inlineStr">
        <is>
          <t>Chèques cadeaux - tolérance URSSAF</t>
        </is>
      </c>
      <c r="C24" s="158" t="inlineStr">
        <is>
          <t>Lettre-circulaire ACOSS 2011-024 (5 % PMSS/événement)</t>
        </is>
      </c>
    </row>
    <row r="25" ht="21.75" customHeight="1">
      <c r="B25" s="30" t="inlineStr">
        <is>
          <t>Chèques vacances - exo</t>
        </is>
      </c>
      <c r="C25" s="158" t="inlineStr">
        <is>
          <t>C. tour. art. L.411-1 et s. (≤ 30 % SMIC mensuel)</t>
        </is>
      </c>
    </row>
    <row r="26" ht="21.75" customHeight="1">
      <c r="B26" s="30" t="inlineStr">
        <is>
          <t>Forfait mobilité durable</t>
        </is>
      </c>
      <c r="C26" s="158" t="inlineStr">
        <is>
          <t>C. trav. art. L.3261-3-1 (700 € depuis 2022)</t>
        </is>
      </c>
    </row>
    <row r="27" ht="21.75" customHeight="1">
      <c r="B27" s="30" t="inlineStr">
        <is>
          <t>Abattement 10 % salariés</t>
        </is>
      </c>
      <c r="C27" s="158" t="inlineStr">
        <is>
          <t>CGI art. 83 (plancher 504 €, plafond 14 426 €)</t>
        </is>
      </c>
    </row>
    <row r="29" ht="21.75" customHeight="1">
      <c r="B29" s="133" t="inlineStr">
        <is>
          <t>HYPOTHÈSES SIMPLIFICATRICES DU MODÈLE</t>
        </is>
      </c>
    </row>
    <row r="30" ht="49.5" customHeight="1">
      <c r="B30" s="131" t="inlineStr">
        <is>
          <t>Cotisations sociales</t>
        </is>
      </c>
      <c r="C30" s="30" t="inlineStr">
        <is>
          <t>Taux moyens (42 % patronales / 12 % salariales / 45 % TNS / 45 % libéral). Les taux réels varient selon T1/T2, conventions, code APE, profession et niveau de revenu. L'expert-comptable affine selon la fiche de paie réelle ou la déclaration 2042-C-PRO.</t>
        </is>
      </c>
    </row>
    <row r="31" ht="49.5" customHeight="1">
      <c r="B31" s="131" t="inlineStr">
        <is>
          <t>Épargne salariale</t>
        </is>
      </c>
      <c r="C31" s="30" t="inlineStr">
        <is>
          <t>Hypothèse de placement ≥ 5 ans en PEE/PERECO → exonération d'IR à la sortie en capital. Versement direct (rare en pratique) entraîne fiscalisation IR au barème.</t>
        </is>
      </c>
    </row>
    <row r="32" ht="49.5" customHeight="1">
      <c r="B32" s="131" t="inlineStr">
        <is>
          <t>PER individuel</t>
        </is>
      </c>
      <c r="C32" s="30" t="inlineStr">
        <is>
          <t>Économie IR matérialisée immédiatement au TMI estimé. La fiscalité de sortie (rente / capital) est différée et non modélisée. Différentiel de TMI activité/retraite généralement favorable.</t>
        </is>
      </c>
    </row>
    <row r="33" ht="49.5" customHeight="1">
      <c r="B33" s="131" t="inlineStr">
        <is>
          <t>Dividendes - TNS</t>
        </is>
      </c>
      <c r="C33" s="30" t="inlineStr">
        <is>
          <t>La fraction des dividendes excédant 10 % du capital social + primes d'émission + comptes courants d'associés est soumise à cotisations TNS (gérant majoritaire SARL / associé EURL / SELARL). À paramétrer au cas par cas.</t>
        </is>
      </c>
    </row>
    <row r="34" ht="49.5" customHeight="1">
      <c r="B34" s="131" t="inlineStr">
        <is>
          <t>Quotient familial</t>
        </is>
      </c>
      <c r="C34" s="30" t="inlineStr">
        <is>
          <t>Le plafonnement du quotient familial (1 807 €/demi-part 2026, hors cas spécifiques) n'est pas modélisé - à vérifier manuellement si le foyer dispose de plus de 2 parts.</t>
        </is>
      </c>
    </row>
    <row r="35" ht="49.5" customHeight="1">
      <c r="B35" s="131" t="inlineStr">
        <is>
          <t>Décote, CIMR, CEHR</t>
        </is>
      </c>
      <c r="C35" s="30" t="inlineStr">
        <is>
          <t>Les mécanismes de décote IR, contribution exceptionnelle sur les hauts revenus (CEHR) et plafond IFI ne sont pas modélisés. À vérifier sur les dossiers à fort revenu.</t>
        </is>
      </c>
    </row>
    <row r="36" ht="49.5" customHeight="1">
      <c r="B36" s="131" t="inlineStr">
        <is>
          <t>Dispositifs non modélisés</t>
        </is>
      </c>
      <c r="C36" s="30" t="inlineStr">
        <is>
          <t>Stock-options, AGA, BSPCE, plus-values de cession de titres, intérêts CC associé, indemnités de cessation, pacte Dutreil - non modélisés.</t>
        </is>
      </c>
    </row>
    <row r="37" ht="49.5" customHeight="1">
      <c r="B37" s="131" t="inlineStr">
        <is>
          <t>Périmètre géographique</t>
        </is>
      </c>
      <c r="C37" s="30" t="inlineStr">
        <is>
          <t>Modèle calibré pour le régime fiscal et social français de droit commun. Non applicable aux non-résidents, expatriés, travailleurs frontaliers, DOM-TOM (régimes spécifiques).</t>
        </is>
      </c>
    </row>
    <row r="39" ht="21.75" customHeight="1">
      <c r="B39" s="133" t="inlineStr">
        <is>
          <t>💸 NOTE TECHNIQUE - CASHBACK</t>
        </is>
      </c>
    </row>
    <row r="40" ht="18" customHeight="1">
      <c r="B40" s="162" t="inlineStr">
        <is>
          <t>Le cashback est traité dans cet outil comme un flux externe au lien de subordination employeur/salarié - c'est-à-dire un pouvoir d'achat net obtenu via un programme partenaire (souscription individuelle ou collective) et non un complément de rémunération chargé. Cette qualification est juridiquement défendue mais elle n'est ni garantie par un texte fiscal exprès, ni opposable de droit à l'URSSAF.
Risques identifiés :
1. Requalification en avantage en nature (CSS art. L.242-1) si le cabinet est l'instigateur direct du programme et que les bénéficiaires sont les salariés / dirigeants. Conséquence : assujettissement aux cotisations sociales et IR.
2. Requalification en complément de salaire si le programme constitue un usage habituel et systématique de l'entreprise (jurisprudence Cass. soc. sur usage d'entreprise).
3. Risque de redressement URSSAF avec rappel de cotisations sur 3 ans + majorations (jusqu'à 25 %).
Recommandations :
• Souscription du programme au nom du bénéficiaire personnel, hors lien employeur, et financement neutre côté société (paiement de l'abonnement par le salarié, remboursé via une enveloppe non chargée comme un titre-cadeau dans la limite de la tolérance ACOSS).
• Documenter formellement la nature externe et facultative du programme.
• Limiter les montants en deçà de seuils significatifs (typiquement &lt; 5 % de la rémunération).
• Faire valider le montage par un avocat fiscaliste ou un cabinet spécialisé URSSAF avant déploiement.
À ce titre, le cashback est positionné en niveau de risque « 🔴 Optimisé » dans le tableau de bord - il s'agit d'une optimisation à fort potentiel d'efficacité fiscale-sociale (≈100 % du brut conservé) mais à sécurisation juridique encore non stabilisée.</t>
        </is>
      </c>
    </row>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4" ht="21.75" customHeight="1">
      <c r="B64" s="133" t="inlineStr">
        <is>
          <t>NOTE TECHNIQUE - CDHR (Contribution Différentielle Hauts Revenus, art. 224 CGI)</t>
        </is>
      </c>
    </row>
    <row r="65" ht="18" customHeight="1">
      <c r="B65" s="163" t="inlineStr">
        <is>
          <t>Cadre légal - La CDHR a été instaurée par la loi de finances pour 2025 (art. 10) puis pérennisée par la loi de finances pour 2026 (art. 2), jusqu'à ce que le déficit public repasse sous 3 % du PIB. Elle garantit une imposition minimale de 20 % du revenu fiscal de référence pour les foyers dont le RFR dépasse 250 000 € (célibataire) ou 500 000 € (couple). Le mécanisme : si (IR + CEHR + prélèvements libératoires) / RFR &lt; 20 %, le foyer paie la différence pour atteindre 20 %.
Approche retenue dans l'outil - Le calcul est intégré aux 4 modules par population avec une formule simplifiée : CDHR = MAX(0, 20 % × RFR − (IR + CEHR)) dès lors que le RFR dépasse le seuil. Trois simplifications sont assumées par rapport au texte légal complet :
  1. Pas de lissage entre 250-330 k€ (célib) / 500-660 k€ (marié). Conséquence : effet de seuil plus brutal dans l'outil que dans la réalité, mais sécurise un cadrage conservateur.
  2. Pas de retraitement des revenus exceptionnels au 1/4 (CGI art. 224 prévoit que les revenus exceptionnels comptent pour le quart de leur montant dans le RFR retraité).
  3. RFR approximé par le revenu net imposable foyer + autres revenus. En réalité le RFR contient aussi les revenus au PFU (dividendes, plus-values), exonérations diverses et abattements spécifiques.
Limite d'usage - Pour les dirigeants rémunérés à 100 % en salaire, l'IR au barème progressif dépasse vite 20 % du RFR, donc la CDHR mord rarement. Là où elle mord vraiment, c'est sur les profils à dividendes importants au PFU (taux moyen plus faible) - situation gérée plus finement dans la feuille Arbitrage qui combine salaire + dividendes. Pour un chiffrage déclaratif final sur un dossier haut revenu, utiliser le simulateur officiel impots.gouv.fr.</t>
        </is>
      </c>
    </row>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2" ht="21.75" customHeight="1">
      <c r="B82" s="133" t="inlineStr">
        <is>
          <t>⚖ NOTE TECHNIQUE - SOCIÉTÉS D'EXERCICE LIBÉRAL (SEL, SELARL, SELAS, SCP)</t>
        </is>
      </c>
    </row>
    <row r="83" ht="18" customHeight="1">
      <c r="B83" s="162" t="inlineStr">
        <is>
          <t>Cadre - Les SEL permettent aux professions libérales réglementées (avocats, médecins, dentistes, experts-comptables, vétérinaires, kinésithérapeutes…) d'exercer en société à l'IS. Le statut social et fiscal des associés diffère selon la forme :
  • SELARL / SCP → associé gérant majoritaire = TNS (libéral). Régime CIPAV, CARMF, CARCDSF, CNBF selon la profession. Imposition à l'IR en BNC pour la part rémunération.
  • SELAS / SELAFA → associés actifs = assimilés salariés (régime général SS). Imposition à l'IR en traitements et salaires. Régime ARRCO-AGIRC pour la retraite complémentaire.
Points spécifiques modélisés :
  • Cotisations TNS sur dividendes &gt; 10 % capital social : appliquées aux SELARL/SCP en gérance majoritaire (jurisprudence Cass. soc. 23 oct. 2014 et confirmation 2018), via la même logique que les SARL gérance majoritaire. Cf. Profil §2 « Capital social + primes + CCA ».
  • SELAS : pas de requalification dividendes (régime PFU intégral, comme assimilé salarié).
Points NON modélisés (à traiter au cas par cas) :
  • Caisse de retraite spécifique selon profession (CIPAV pour BNC non réglementé, CARMF pour médecins libéraux, etc.) - l'outil utilise le taux moyen TNS libéral de 45 %.
  • Frais professionnels réels en SEL TNS (déduction du BNC vs abattement 10 % salarié).
  • Cotisations CNBF spécifiques avocats (taux dégressif, plafonds particuliers).
  • Régime fiscal de la cession ou liquidation de parts SEL.
Pour un dossier SEL complexe, repasser par le module « 9. Libéral » et compléter manuellement avec les paramètres caisse spécifique.</t>
        </is>
      </c>
    </row>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3" ht="21.75" customHeight="1">
      <c r="B103" s="133" t="inlineStr">
        <is>
          <t>GLOSSAIRE DES SIGLES</t>
        </is>
      </c>
    </row>
    <row r="104" ht="24" customHeight="1">
      <c r="B104" s="34" t="inlineStr">
        <is>
          <t>AN</t>
        </is>
      </c>
      <c r="C104" s="30" t="inlineStr">
        <is>
          <t>Avantage en Nature (véhicule, logement, NTIC, etc.) - évalué au forfait ou au réel.</t>
        </is>
      </c>
    </row>
    <row r="105" ht="24" customHeight="1">
      <c r="B105" s="34" t="inlineStr">
        <is>
          <t>BIC</t>
        </is>
      </c>
      <c r="C105" s="30" t="inlineStr">
        <is>
          <t>Bénéfices Industriels et Commerciaux - catégorie fiscale des artisans, commerçants, industriels.</t>
        </is>
      </c>
    </row>
    <row r="106" ht="24" customHeight="1">
      <c r="B106" s="34" t="inlineStr">
        <is>
          <t>BNC</t>
        </is>
      </c>
      <c r="C106" s="30" t="inlineStr">
        <is>
          <t>Bénéfices Non Commerciaux - catégorie fiscale des professions libérales et titulaires de charges/offices.</t>
        </is>
      </c>
    </row>
    <row r="107" ht="24" customHeight="1">
      <c r="B107" s="34" t="inlineStr">
        <is>
          <t>CARCDSF</t>
        </is>
      </c>
      <c r="C107" s="30" t="inlineStr">
        <is>
          <t>Caisse Autonome de Retraite des Chirurgiens-Dentistes et des Sages-Femmes.</t>
        </is>
      </c>
    </row>
    <row r="108" ht="24" customHeight="1">
      <c r="B108" s="34" t="inlineStr">
        <is>
          <t>CARMF</t>
        </is>
      </c>
      <c r="C108" s="30" t="inlineStr">
        <is>
          <t>Caisse Autonome de Retraite des Médecins de France.</t>
        </is>
      </c>
    </row>
    <row r="109" ht="24" customHeight="1">
      <c r="B109" s="34" t="inlineStr">
        <is>
          <t>CARPIMKO</t>
        </is>
      </c>
      <c r="C109" s="30" t="inlineStr">
        <is>
          <t>Caisse de retraite des Infirmiers, Masseurs-Kinésithérapeutes, Pédicures-Podologues, Orthophonistes et Orthoptistes.</t>
        </is>
      </c>
    </row>
    <row r="110" ht="24" customHeight="1">
      <c r="B110" s="34" t="inlineStr">
        <is>
          <t>CARPV</t>
        </is>
      </c>
      <c r="C110" s="30" t="inlineStr">
        <is>
          <t>Caisse Autonome de Retraite et de Prévoyance des Vétérinaires.</t>
        </is>
      </c>
    </row>
    <row r="111" ht="24" customHeight="1">
      <c r="B111" s="34" t="inlineStr">
        <is>
          <t>CDHR</t>
        </is>
      </c>
      <c r="C111" s="30" t="inlineStr">
        <is>
          <t>Contribution Différentielle sur les Hauts Revenus - CGI art. 224. Instaurée par LF 2025, pérennisée par LF 2026. Garantit un plancher de 20 % d'imposition effective sur RFR &gt; 250 k€ (célib) ou 500 k€ (marié).</t>
        </is>
      </c>
    </row>
    <row r="112" ht="24" customHeight="1">
      <c r="B112" s="34" t="inlineStr">
        <is>
          <t>CEHR</t>
        </is>
      </c>
      <c r="C112" s="30" t="inlineStr">
        <is>
          <t>Contribution Exceptionnelle sur les Hauts Revenus - CGI art. 223 sexies. 3 % à 4 % au-delà de 250/500 k€ (célib./marié).</t>
        </is>
      </c>
    </row>
    <row r="113" ht="24" customHeight="1">
      <c r="B113" s="34" t="inlineStr">
        <is>
          <t>CESU</t>
        </is>
      </c>
      <c r="C113" s="30" t="inlineStr">
        <is>
          <t>Chèque Emploi Service Universel préfinancé - exo charges/IR jusqu'à 2 540 €/an/salarié.</t>
        </is>
      </c>
    </row>
    <row r="114" ht="24" customHeight="1">
      <c r="B114" s="34" t="inlineStr">
        <is>
          <t>CFA</t>
        </is>
      </c>
      <c r="C114" s="30" t="inlineStr">
        <is>
          <t>Contribution Financière pour l'Autonomie - créée par LFSS 2026, intégrée à la CSG (+1,4 pt sur revenus du capital, portant la CSG à 10,6 %).</t>
        </is>
      </c>
    </row>
    <row r="115" ht="24" customHeight="1">
      <c r="B115" s="34" t="inlineStr">
        <is>
          <t>CIMR</t>
        </is>
      </c>
      <c r="C115" s="30" t="inlineStr">
        <is>
          <t>Crédit d'Impôt pour la Modernisation du Recouvrement - mécanisme de transition lors du passage au prélèvement à la source en 2019.</t>
        </is>
      </c>
    </row>
    <row r="116" ht="24" customHeight="1">
      <c r="B116" s="34" t="inlineStr">
        <is>
          <t>CIPAV</t>
        </is>
      </c>
      <c r="C116" s="30" t="inlineStr">
        <is>
          <t>Caisse Interprofessionnelle de Prévoyance et d'Assurance Vieillesse - caisse de retraite des libéraux non réglementés.</t>
        </is>
      </c>
    </row>
    <row r="117" ht="24" customHeight="1">
      <c r="B117" s="34" t="inlineStr">
        <is>
          <t>CNBF</t>
        </is>
      </c>
      <c r="C117" s="30" t="inlineStr">
        <is>
          <t>Caisse Nationale des Barreaux Français - retraite des avocats.</t>
        </is>
      </c>
    </row>
    <row r="118" ht="24" customHeight="1">
      <c r="B118" s="34" t="inlineStr">
        <is>
          <t>CRDS</t>
        </is>
      </c>
      <c r="C118" s="30" t="inlineStr">
        <is>
          <t>Contribution au Remboursement de la Dette Sociale - 0,50 % sur les revenus d'activité, intégralement non déductible.</t>
        </is>
      </c>
    </row>
    <row r="119" ht="24" customHeight="1">
      <c r="B119" s="34" t="inlineStr">
        <is>
          <t>CSG</t>
        </is>
      </c>
      <c r="C119" s="30" t="inlineStr">
        <is>
          <t>Contribution Sociale Généralisée - 9,20 % sur les revenus d'activité ; 10,60 % sur revenus du capital depuis LFSS 2026 (hors AV, fonciers maintenus à 9,20 %).</t>
        </is>
      </c>
    </row>
    <row r="120" ht="24" customHeight="1">
      <c r="B120" s="34" t="inlineStr">
        <is>
          <t>CSS</t>
        </is>
      </c>
      <c r="C120" s="30" t="inlineStr">
        <is>
          <t>Code de la Sécurité Sociale.</t>
        </is>
      </c>
    </row>
    <row r="121" ht="24" customHeight="1">
      <c r="B121" s="34" t="inlineStr">
        <is>
          <t>DGFIP</t>
        </is>
      </c>
      <c r="C121" s="30" t="inlineStr">
        <is>
          <t>Direction Générale des Finances Publiques - administration fiscale.</t>
        </is>
      </c>
    </row>
    <row r="122" ht="24" customHeight="1">
      <c r="B122" s="34" t="inlineStr">
        <is>
          <t>IK</t>
        </is>
      </c>
      <c r="C122" s="30" t="inlineStr">
        <is>
          <t>Indemnité Kilométrique - barème fiscal annuel publié par la DGFIP.</t>
        </is>
      </c>
    </row>
    <row r="123" ht="24" customHeight="1">
      <c r="B123" s="34" t="inlineStr">
        <is>
          <t>IR</t>
        </is>
      </c>
      <c r="C123" s="30" t="inlineStr">
        <is>
          <t>Impôt sur le Revenu - barème progressif par tranches sur le revenu imposable du foyer.</t>
        </is>
      </c>
    </row>
    <row r="124" ht="24" customHeight="1">
      <c r="B124" s="34" t="inlineStr">
        <is>
          <t>IS</t>
        </is>
      </c>
      <c r="C124" s="30" t="inlineStr">
        <is>
          <t>Impôt sur les Sociétés - taux normal 25 %, taux réduit 15 % jusqu'à 42 500 € pour les PME éligibles.</t>
        </is>
      </c>
    </row>
    <row r="125" ht="24" customHeight="1">
      <c r="B125" s="34" t="inlineStr">
        <is>
          <t>LF</t>
        </is>
      </c>
      <c r="C125" s="30" t="inlineStr">
        <is>
          <t>Loi de Finances - texte voté annuellement fixant les paramètres fiscaux.</t>
        </is>
      </c>
    </row>
    <row r="126" ht="24" customHeight="1">
      <c r="B126" s="34" t="inlineStr">
        <is>
          <t>LFSS</t>
        </is>
      </c>
      <c r="C126" s="30" t="inlineStr">
        <is>
          <t>Loi de Financement de la Sécurité Sociale - texte annuel fixant taux et plafonds sociaux.</t>
        </is>
      </c>
    </row>
    <row r="127" ht="24" customHeight="1">
      <c r="B127" s="34" t="inlineStr">
        <is>
          <t>NTIC</t>
        </is>
      </c>
      <c r="C127" s="30" t="inlineStr">
        <is>
          <t>Nouvelles Technologies de l'Information et de la Communication - usage : qualification des avantages en nature (téléphone, ordinateur, abonnements numériques).</t>
        </is>
      </c>
    </row>
    <row r="128" ht="24" customHeight="1">
      <c r="B128" s="34" t="inlineStr">
        <is>
          <t>PASS</t>
        </is>
      </c>
      <c r="C128" s="30" t="inlineStr">
        <is>
          <t>Plafond Annuel de la Sécurité Sociale - 48 060 € en 2026 (+2,0 % vs 2025). Référence pour de nombreux plafonds (épargne salariale, etc.).</t>
        </is>
      </c>
    </row>
    <row r="129" ht="24" customHeight="1">
      <c r="B129" s="34" t="inlineStr">
        <is>
          <t>PEE</t>
        </is>
      </c>
      <c r="C129" s="30" t="inlineStr">
        <is>
          <t>Plan d'Épargne Entreprise - dispositif d'épargne collective, blocage 5 ans, sortie en capital exonérée d'IR.</t>
        </is>
      </c>
    </row>
    <row r="130" ht="24" customHeight="1">
      <c r="B130" s="34" t="inlineStr">
        <is>
          <t>PER</t>
        </is>
      </c>
      <c r="C130" s="30" t="inlineStr">
        <is>
          <t>Plan d'Épargne Retraite - créé par la loi PACTE (2019), remplace PERP/Madelin/PERCO.</t>
        </is>
      </c>
    </row>
    <row r="131" ht="24" customHeight="1">
      <c r="B131" s="34" t="inlineStr">
        <is>
          <t>PERECO</t>
        </is>
      </c>
      <c r="C131" s="30" t="inlineStr">
        <is>
          <t>Plan d'Épargne Retraite d'Entreprise Collectif - successeur du PERCO depuis la loi PACTE.</t>
        </is>
      </c>
    </row>
    <row r="132" ht="24" customHeight="1">
      <c r="B132" s="34" t="inlineStr">
        <is>
          <t>PERIN</t>
        </is>
      </c>
      <c r="C132" s="30" t="inlineStr">
        <is>
          <t>Plan d'Épargne Retraite Individuel - souscription à titre personnel, versements déductibles du revenu imposable.</t>
        </is>
      </c>
    </row>
    <row r="133" ht="24" customHeight="1">
      <c r="B133" s="34" t="inlineStr">
        <is>
          <t>PFU</t>
        </is>
      </c>
      <c r="C133" s="30" t="inlineStr">
        <is>
          <t>Prélèvement Forfaitaire Unique - « flat tax » 31,40 % en 2026 sur les revenus du capital (12,80 % IR + 18,60 % prélèvements sociaux). Maintenu à 30 % pour AV, fonciers.</t>
        </is>
      </c>
    </row>
    <row r="134" ht="24" customHeight="1">
      <c r="B134" s="34" t="inlineStr">
        <is>
          <t>PLFSS</t>
        </is>
      </c>
      <c r="C134" s="30" t="inlineStr">
        <is>
          <t>Projet de Loi de Financement de la Sécurité Sociale - texte annuel fixant taux et plafonds sociaux (équivalent du PLF pour la SS).</t>
        </is>
      </c>
    </row>
    <row r="135" ht="24" customHeight="1">
      <c r="B135" s="34" t="inlineStr">
        <is>
          <t>PMSS</t>
        </is>
      </c>
      <c r="C135" s="30" t="inlineStr">
        <is>
          <t>Plafond Mensuel de la Sécurité Sociale - 4 005 € en 2026 (= PASS / 12).</t>
        </is>
      </c>
    </row>
    <row r="136" ht="24" customHeight="1">
      <c r="B136" s="34" t="inlineStr">
        <is>
          <t>QF</t>
        </is>
      </c>
      <c r="C136" s="30" t="inlineStr">
        <is>
          <t>Quotient Familial - mécanisme de division du revenu imposable par le nombre de parts fiscales avant application du barème IR. Plafond 1 807 €/demi-part en 2026.</t>
        </is>
      </c>
    </row>
    <row r="137" ht="24" customHeight="1">
      <c r="B137" s="34" t="inlineStr">
        <is>
          <t>RFR</t>
        </is>
      </c>
      <c r="C137" s="30" t="inlineStr">
        <is>
          <t>Revenu Fiscal de Référence - base de calcul de la CEHR, de la CDHR et de nombreuses prestations sociales. Approximé ici par le revenu net imposable.</t>
        </is>
      </c>
    </row>
    <row r="138" ht="24" customHeight="1">
      <c r="B138" s="34" t="inlineStr">
        <is>
          <t>SEL</t>
        </is>
      </c>
      <c r="C138" s="30" t="inlineStr">
        <is>
          <t>Société d'Exercice Libéral - formes : SELARL (à responsabilité limitée), SELAS (par actions simplifiée), SELAFA, SELCA. Permet aux libéraux d'exercer en société à l'IS.</t>
        </is>
      </c>
    </row>
    <row r="139" ht="24" customHeight="1">
      <c r="B139" s="34" t="inlineStr">
        <is>
          <t>TMI</t>
        </is>
      </c>
      <c r="C139" s="30" t="inlineStr">
        <is>
          <t>Taux Marginal d'Imposition - taux du barème IR appliqué à la dernière tranche de revenu imposable du foyer.</t>
        </is>
      </c>
    </row>
    <row r="140" ht="24" customHeight="1">
      <c r="B140" s="34" t="inlineStr">
        <is>
          <t>TNS</t>
        </is>
      </c>
      <c r="C140" s="30" t="inlineStr">
        <is>
          <t>Travailleur Non Salarié - gérant majoritaire SARL, EURL, SELARL ; entrepreneur individuel ; libéral en exercice individuel.</t>
        </is>
      </c>
    </row>
    <row r="141" ht="24" customHeight="1">
      <c r="B141" s="34" t="inlineStr">
        <is>
          <t>URSSAF</t>
        </is>
      </c>
      <c r="C141" s="30" t="inlineStr">
        <is>
          <t>Union de Recouvrement des cotisations de Sécurité Sociale et d'Allocations Familiales - collecte les cotisations sociales.</t>
        </is>
      </c>
    </row>
    <row r="143" ht="21.75" customHeight="1">
      <c r="B143" s="133" t="inlineStr">
        <is>
          <t>DISCLAIMER JURIDIQUE</t>
        </is>
      </c>
    </row>
    <row r="144" ht="18" customHeight="1">
      <c r="B144" s="161" t="inlineStr">
        <is>
          <t>1. Le présent outil constitue une aide à la simulation et au cadrage stratégique, à usage exclusif des professionnels du chiffre et du droit (experts-comptables, avocats fiscalistes, conseils en gestion de patrimoine).
2. Il ne saurait se substituer à un conseil personnalisé délivré après examen complet de la situation individuelle du client (situation patrimoniale, familiale, projets de cession ou de transmission, etc.).
3. Les calculs reposent sur le référentiel fiscal et social 2025 (revenus 2024) en vigueur à la date de mise à jour de la feuille « 4. Paramètres ». Toute évolution législative ou réglementaire postérieure doit faire l'objet d'une mise à jour.
4. Les hypothèses simplificatrices détaillées ci-dessus peuvent conduire à des écarts avec les calculs définitifs réalisés par le cabinet. Les chiffres produits par cet outil sont indicatifs et ne valent pas engagement.
5. Le cabinet utilisateur conserve l'entière responsabilité du conseil délivré au client final, ainsi que de la mise à jour annuelle des paramètres et des éventuels ajustements liés aux spécificités du dossier.
6. La présente version (v1.0) est un outil de cabinet sous licence - toute reproduction, diffusion ou commercialisation à des tiers non autorisés est interdite.</t>
        </is>
      </c>
    </row>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sheetData>
  <mergeCells count="13">
    <mergeCell ref="B39:C39"/>
    <mergeCell ref="B64:C64"/>
    <mergeCell ref="A1:G1"/>
    <mergeCell ref="B29:C29"/>
    <mergeCell ref="B144:C159"/>
    <mergeCell ref="B4:C4"/>
    <mergeCell ref="B103:C103"/>
    <mergeCell ref="A2:G2"/>
    <mergeCell ref="B83:C101"/>
    <mergeCell ref="B40:C62"/>
    <mergeCell ref="B65:C80"/>
    <mergeCell ref="B82:C82"/>
    <mergeCell ref="B143:C143"/>
  </mergeCells>
  <hyperlinks>
    <hyperlink ref="H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H48"/>
  <sheetViews>
    <sheetView showGridLines="0" zoomScaleNormal="100" workbookViewId="0">
      <selection activeCell="A1" sqref="A1"/>
    </sheetView>
  </sheetViews>
  <sheetFormatPr baseColWidth="10" defaultColWidth="8.6640625" defaultRowHeight="14.25"/>
  <cols>
    <col width="5" customWidth="1" min="1" max="1"/>
    <col width="35" customWidth="1" min="2" max="2"/>
    <col width="18" customWidth="1" min="3" max="3"/>
    <col width="6" customWidth="1" min="4" max="4"/>
    <col width="12" customWidth="1" min="5" max="7"/>
    <col width="8" customWidth="1" min="8" max="8"/>
  </cols>
  <sheetData>
    <row r="1" ht="30" customHeight="1">
      <c r="A1" s="164" t="inlineStr">
        <is>
          <t>Tests régressifs intégrés - feuille de validation</t>
        </is>
      </c>
    </row>
    <row r="2" ht="31.5" customHeight="1">
      <c r="A2" s="165" t="inlineStr">
        <is>
          <t>Cas-tests calibrés sur le barème IR 2026 (revenus 2025), plafonds 2026 (PASS 48 060 €, QF 1 807 €), CEHR/CDHR pérennisées LF 2026. Si un cas-test passe au ✗, cela indique qu'une modification a cassé une formule.</t>
        </is>
      </c>
    </row>
    <row r="4" ht="21.75" customHeight="1">
      <c r="A4" s="48" t="inlineStr">
        <is>
          <t>Indicateur global</t>
        </is>
      </c>
      <c r="B4" s="166">
        <f>IF(COUNTIF(H8:H80,"✗")=0,"✅ Tous les cas-tests passent ("&amp;COUNTIF(H8:H80,"✓")&amp;" verts / "&amp;COUNTIF(H8:H80,"✗")&amp;" rouges)","🔴 "&amp;COUNTIF(H8:H80,"✗")&amp;" test(s) en échec sur "&amp;(COUNTIF(H8:H80,"✓")+COUNTIF(H8:H80,"✗"))&amp;" total")</f>
        <v/>
      </c>
    </row>
    <row r="7" ht="21.75" customHeight="1">
      <c r="A7" s="21" t="inlineStr">
        <is>
          <t>N°</t>
        </is>
      </c>
      <c r="B7" s="21" t="inlineStr">
        <is>
          <t>Description</t>
        </is>
      </c>
      <c r="C7" s="21" t="inlineStr">
        <is>
          <t>Situation</t>
        </is>
      </c>
      <c r="D7" s="21" t="inlineStr">
        <is>
          <t>Parts</t>
        </is>
      </c>
      <c r="E7" s="21" t="inlineStr">
        <is>
          <t>Rev. imp. (€)</t>
        </is>
      </c>
      <c r="F7" s="21" t="inlineStr">
        <is>
          <t>Attendu (€)</t>
        </is>
      </c>
      <c r="G7" s="21" t="inlineStr">
        <is>
          <t>Calculé (€)</t>
        </is>
      </c>
      <c r="H7" s="21" t="inlineStr">
        <is>
          <t>Statut</t>
        </is>
      </c>
    </row>
    <row r="8" ht="25.5" customHeight="1">
      <c r="A8" s="24" t="inlineStr">
        <is>
          <t>T1</t>
        </is>
      </c>
      <c r="B8" s="158" t="inlineStr">
        <is>
          <t>Célib 1p, 30k → IR ≈ 2 104 € (cf. simu officielle)</t>
        </is>
      </c>
      <c r="C8" s="87" t="inlineStr">
        <is>
          <t>Célibataire / divorcé / veuf</t>
        </is>
      </c>
      <c r="D8" s="84" t="n">
        <v>1</v>
      </c>
      <c r="E8" s="182" t="n">
        <v>30000</v>
      </c>
      <c r="F8" s="199" t="n">
        <v>2104</v>
      </c>
      <c r="G8" s="182">
        <f>ROUND((IF(E8/D8&lt;=IR_PLAFOND_T1,0,IF(E8/D8&lt;=IR_PLAFOND_T2,(E8/D8-IR_PLAFOND_T1)*IR_TAUX_T2,IF(E8/D8&lt;=IR_PLAFOND_T3,(IR_PLAFOND_T2-IR_PLAFOND_T1)*IR_TAUX_T2+(E8/D8-IR_PLAFOND_T2)*IR_TAUX_T3,IF(E8/D8&lt;=IR_PLAFOND_T4,(IR_PLAFOND_T2-IR_PLAFOND_T1)*IR_TAUX_T2+(IR_PLAFOND_T3-IR_PLAFOND_T2)*IR_TAUX_T3+(E8/D8-IR_PLAFOND_T3)*IR_TAUX_T4,(IR_PLAFOND_T2-IR_PLAFOND_T1)*IR_TAUX_T2+(IR_PLAFOND_T3-IR_PLAFOND_T2)*IR_TAUX_T3+(IR_PLAFOND_T4-IR_PLAFOND_T3)*IR_TAUX_T4+(E8/D8-IR_PLAFOND_T4)*IR_TAUX_T5)))))*D8,0)</f>
        <v/>
      </c>
      <c r="H8" s="24">
        <f>IF(ABS(F8-G8)&lt;=5,"✓","✗")</f>
        <v/>
      </c>
    </row>
    <row r="9" ht="25.5" customHeight="1">
      <c r="A9" s="24" t="inlineStr">
        <is>
          <t>T2</t>
        </is>
      </c>
      <c r="B9" s="158" t="inlineStr">
        <is>
          <t>Marié 2p, 60k → IR ≈ 4 208 € (cf. simu officielle)</t>
        </is>
      </c>
      <c r="C9" s="87" t="inlineStr">
        <is>
          <t>Marié / pacsé</t>
        </is>
      </c>
      <c r="D9" s="84" t="n">
        <v>2</v>
      </c>
      <c r="E9" s="182" t="n">
        <v>60000</v>
      </c>
      <c r="F9" s="199" t="n">
        <v>4208</v>
      </c>
      <c r="G9" s="182">
        <f>ROUND((IF(E9/D9&lt;=IR_PLAFOND_T1,0,IF(E9/D9&lt;=IR_PLAFOND_T2,(E9/D9-IR_PLAFOND_T1)*IR_TAUX_T2,IF(E9/D9&lt;=IR_PLAFOND_T3,(IR_PLAFOND_T2-IR_PLAFOND_T1)*IR_TAUX_T2+(E9/D9-IR_PLAFOND_T2)*IR_TAUX_T3,IF(E9/D9&lt;=IR_PLAFOND_T4,(IR_PLAFOND_T2-IR_PLAFOND_T1)*IR_TAUX_T2+(IR_PLAFOND_T3-IR_PLAFOND_T2)*IR_TAUX_T3+(E9/D9-IR_PLAFOND_T3)*IR_TAUX_T4,(IR_PLAFOND_T2-IR_PLAFOND_T1)*IR_TAUX_T2+(IR_PLAFOND_T3-IR_PLAFOND_T2)*IR_TAUX_T3+(IR_PLAFOND_T4-IR_PLAFOND_T3)*IR_TAUX_T4+(E9/D9-IR_PLAFOND_T4)*IR_TAUX_T5)))))*D9,0)</f>
        <v/>
      </c>
      <c r="H9" s="24">
        <f>IF(ABS(F9-G9)&lt;=5,"✓","✗")</f>
        <v/>
      </c>
    </row>
    <row r="10" ht="25.5" customHeight="1">
      <c r="A10" s="24" t="inlineStr">
        <is>
          <t>T3</t>
        </is>
      </c>
      <c r="B10" s="158" t="inlineStr">
        <is>
          <t>Marié 2p, 80k → IR ≈ 10 208 €</t>
        </is>
      </c>
      <c r="C10" s="87" t="inlineStr">
        <is>
          <t>Marié / pacsé</t>
        </is>
      </c>
      <c r="D10" s="84" t="n">
        <v>2</v>
      </c>
      <c r="E10" s="182" t="n">
        <v>80000</v>
      </c>
      <c r="F10" s="199" t="n">
        <v>10208</v>
      </c>
      <c r="G10" s="182">
        <f>ROUND((IF(E10/D10&lt;=IR_PLAFOND_T1,0,IF(E10/D10&lt;=IR_PLAFOND_T2,(E10/D10-IR_PLAFOND_T1)*IR_TAUX_T2,IF(E10/D10&lt;=IR_PLAFOND_T3,(IR_PLAFOND_T2-IR_PLAFOND_T1)*IR_TAUX_T2+(E10/D10-IR_PLAFOND_T2)*IR_TAUX_T3,IF(E10/D10&lt;=IR_PLAFOND_T4,(IR_PLAFOND_T2-IR_PLAFOND_T1)*IR_TAUX_T2+(IR_PLAFOND_T3-IR_PLAFOND_T2)*IR_TAUX_T3+(E10/D10-IR_PLAFOND_T3)*IR_TAUX_T4,(IR_PLAFOND_T2-IR_PLAFOND_T1)*IR_TAUX_T2+(IR_PLAFOND_T3-IR_PLAFOND_T2)*IR_TAUX_T3+(IR_PLAFOND_T4-IR_PLAFOND_T3)*IR_TAUX_T4+(E10/D10-IR_PLAFOND_T4)*IR_TAUX_T5)))))*D10,0)</f>
        <v/>
      </c>
      <c r="H10" s="24">
        <f>IF(ABS(F10-G10)&lt;=5,"✓","✗")</f>
        <v/>
      </c>
    </row>
    <row r="11" ht="25.5" customHeight="1">
      <c r="A11" s="24" t="inlineStr">
        <is>
          <t>T4</t>
        </is>
      </c>
      <c r="B11" s="158" t="inlineStr">
        <is>
          <t>Célib 1p, 100k → IR ≈ 24 800 € (TMI 41 %)</t>
        </is>
      </c>
      <c r="C11" s="87" t="inlineStr">
        <is>
          <t>Célibataire / divorcé / veuf</t>
        </is>
      </c>
      <c r="D11" s="84" t="n">
        <v>1</v>
      </c>
      <c r="E11" s="182" t="n">
        <v>100000</v>
      </c>
      <c r="F11" s="199" t="n">
        <v>24800</v>
      </c>
      <c r="G11" s="182">
        <f>ROUND((IF(E11/D11&lt;=IR_PLAFOND_T1,0,IF(E11/D11&lt;=IR_PLAFOND_T2,(E11/D11-IR_PLAFOND_T1)*IR_TAUX_T2,IF(E11/D11&lt;=IR_PLAFOND_T3,(IR_PLAFOND_T2-IR_PLAFOND_T1)*IR_TAUX_T2+(E11/D11-IR_PLAFOND_T2)*IR_TAUX_T3,IF(E11/D11&lt;=IR_PLAFOND_T4,(IR_PLAFOND_T2-IR_PLAFOND_T1)*IR_TAUX_T2+(IR_PLAFOND_T3-IR_PLAFOND_T2)*IR_TAUX_T3+(E11/D11-IR_PLAFOND_T3)*IR_TAUX_T4,(IR_PLAFOND_T2-IR_PLAFOND_T1)*IR_TAUX_T2+(IR_PLAFOND_T3-IR_PLAFOND_T2)*IR_TAUX_T3+(IR_PLAFOND_T4-IR_PLAFOND_T3)*IR_TAUX_T4+(E11/D11-IR_PLAFOND_T4)*IR_TAUX_T5)))))*D11,0)</f>
        <v/>
      </c>
      <c r="H11" s="24">
        <f>IF(ABS(F11-G11)&lt;=5,"✓","✗")</f>
        <v/>
      </c>
    </row>
    <row r="12" ht="25.5" customHeight="1">
      <c r="A12" s="24" t="inlineStr">
        <is>
          <t>T5</t>
        </is>
      </c>
      <c r="B12" s="158" t="inlineStr">
        <is>
          <t>Marié 2p, 200k → IR ≈ 49 600 € (TMI 41 %)</t>
        </is>
      </c>
      <c r="C12" s="87" t="inlineStr">
        <is>
          <t>Marié / pacsé</t>
        </is>
      </c>
      <c r="D12" s="84" t="n">
        <v>2</v>
      </c>
      <c r="E12" s="182" t="n">
        <v>200000</v>
      </c>
      <c r="F12" s="199" t="n">
        <v>49600</v>
      </c>
      <c r="G12" s="182">
        <f>ROUND((IF(E12/D12&lt;=IR_PLAFOND_T1,0,IF(E12/D12&lt;=IR_PLAFOND_T2,(E12/D12-IR_PLAFOND_T1)*IR_TAUX_T2,IF(E12/D12&lt;=IR_PLAFOND_T3,(IR_PLAFOND_T2-IR_PLAFOND_T1)*IR_TAUX_T2+(E12/D12-IR_PLAFOND_T2)*IR_TAUX_T3,IF(E12/D12&lt;=IR_PLAFOND_T4,(IR_PLAFOND_T2-IR_PLAFOND_T1)*IR_TAUX_T2+(IR_PLAFOND_T3-IR_PLAFOND_T2)*IR_TAUX_T3+(E12/D12-IR_PLAFOND_T3)*IR_TAUX_T4,(IR_PLAFOND_T2-IR_PLAFOND_T1)*IR_TAUX_T2+(IR_PLAFOND_T3-IR_PLAFOND_T2)*IR_TAUX_T3+(IR_PLAFOND_T4-IR_PLAFOND_T3)*IR_TAUX_T4+(E12/D12-IR_PLAFOND_T4)*IR_TAUX_T5)))))*D12,0)</f>
        <v/>
      </c>
      <c r="H12" s="24">
        <f>IF(ABS(F12-G12)&lt;=5,"✓","✗")</f>
        <v/>
      </c>
    </row>
    <row r="13" ht="25.5" customHeight="1">
      <c r="A13" s="24" t="inlineStr">
        <is>
          <t>T11</t>
        </is>
      </c>
      <c r="B13" s="158" t="inlineStr">
        <is>
          <t>Célib 1p, 11 600 € (limite T1/T2) → IR = 0</t>
        </is>
      </c>
      <c r="C13" s="87" t="inlineStr">
        <is>
          <t>Célibataire / divorcé / veuf</t>
        </is>
      </c>
      <c r="D13" s="84" t="n">
        <v>1</v>
      </c>
      <c r="E13" s="182" t="n">
        <v>11600</v>
      </c>
      <c r="F13" s="199" t="n">
        <v>0</v>
      </c>
      <c r="G13" s="182">
        <f>ROUND((IF(E13/D13&lt;=IR_PLAFOND_T1,0,IF(E13/D13&lt;=IR_PLAFOND_T2,(E13/D13-IR_PLAFOND_T1)*IR_TAUX_T2,IF(E13/D13&lt;=IR_PLAFOND_T3,(IR_PLAFOND_T2-IR_PLAFOND_T1)*IR_TAUX_T2+(E13/D13-IR_PLAFOND_T2)*IR_TAUX_T3,IF(E13/D13&lt;=IR_PLAFOND_T4,(IR_PLAFOND_T2-IR_PLAFOND_T1)*IR_TAUX_T2+(IR_PLAFOND_T3-IR_PLAFOND_T2)*IR_TAUX_T3+(E13/D13-IR_PLAFOND_T3)*IR_TAUX_T4,(IR_PLAFOND_T2-IR_PLAFOND_T1)*IR_TAUX_T2+(IR_PLAFOND_T3-IR_PLAFOND_T2)*IR_TAUX_T3+(IR_PLAFOND_T4-IR_PLAFOND_T3)*IR_TAUX_T4+(E13/D13-IR_PLAFOND_T4)*IR_TAUX_T5)))))*D13,0)</f>
        <v/>
      </c>
      <c r="H13" s="24">
        <f>IF(ABS(F13-G13)&lt;=5,"✓","✗")</f>
        <v/>
      </c>
    </row>
    <row r="14" ht="25.5" customHeight="1">
      <c r="A14" s="24" t="inlineStr">
        <is>
          <t>T12</t>
        </is>
      </c>
      <c r="B14" s="158" t="inlineStr">
        <is>
          <t>Célib 1p, 29 579 € (limite T2/T3) → IR ≈ 1 978 €</t>
        </is>
      </c>
      <c r="C14" s="87" t="inlineStr">
        <is>
          <t>Célibataire / divorcé / veuf</t>
        </is>
      </c>
      <c r="D14" s="84" t="n">
        <v>1</v>
      </c>
      <c r="E14" s="182" t="n">
        <v>29579</v>
      </c>
      <c r="F14" s="199" t="n">
        <v>1978</v>
      </c>
      <c r="G14" s="182">
        <f>ROUND((IF(E14/D14&lt;=IR_PLAFOND_T1,0,IF(E14/D14&lt;=IR_PLAFOND_T2,(E14/D14-IR_PLAFOND_T1)*IR_TAUX_T2,IF(E14/D14&lt;=IR_PLAFOND_T3,(IR_PLAFOND_T2-IR_PLAFOND_T1)*IR_TAUX_T2+(E14/D14-IR_PLAFOND_T2)*IR_TAUX_T3,IF(E14/D14&lt;=IR_PLAFOND_T4,(IR_PLAFOND_T2-IR_PLAFOND_T1)*IR_TAUX_T2+(IR_PLAFOND_T3-IR_PLAFOND_T2)*IR_TAUX_T3+(E14/D14-IR_PLAFOND_T3)*IR_TAUX_T4,(IR_PLAFOND_T2-IR_PLAFOND_T1)*IR_TAUX_T2+(IR_PLAFOND_T3-IR_PLAFOND_T2)*IR_TAUX_T3+(IR_PLAFOND_T4-IR_PLAFOND_T3)*IR_TAUX_T4+(E14/D14-IR_PLAFOND_T4)*IR_TAUX_T5)))))*D14,0)</f>
        <v/>
      </c>
      <c r="H14" s="24">
        <f>IF(ABS(F14-G14)&lt;=5,"✓","✗")</f>
        <v/>
      </c>
    </row>
    <row r="15" ht="25.5" customHeight="1">
      <c r="A15" s="24" t="inlineStr">
        <is>
          <t>T13</t>
        </is>
      </c>
      <c r="B15" s="158" t="inlineStr">
        <is>
          <t>Célib 1p, 250k → IR ≈ 89 024 € (T5 active, calcul direct)</t>
        </is>
      </c>
      <c r="C15" s="87" t="inlineStr">
        <is>
          <t>Célibataire / divorcé / veuf</t>
        </is>
      </c>
      <c r="D15" s="84" t="n">
        <v>1</v>
      </c>
      <c r="E15" s="182" t="n">
        <v>250000</v>
      </c>
      <c r="F15" s="199" t="n">
        <v>89024</v>
      </c>
      <c r="G15" s="182">
        <f>ROUND((IF(E15/D15&lt;=IR_PLAFOND_T1,0,IF(E15/D15&lt;=IR_PLAFOND_T2,(E15/D15-IR_PLAFOND_T1)*IR_TAUX_T2,IF(E15/D15&lt;=IR_PLAFOND_T3,(IR_PLAFOND_T2-IR_PLAFOND_T1)*IR_TAUX_T2+(E15/D15-IR_PLAFOND_T2)*IR_TAUX_T3,IF(E15/D15&lt;=IR_PLAFOND_T4,(IR_PLAFOND_T2-IR_PLAFOND_T1)*IR_TAUX_T2+(IR_PLAFOND_T3-IR_PLAFOND_T2)*IR_TAUX_T3+(E15/D15-IR_PLAFOND_T3)*IR_TAUX_T4,(IR_PLAFOND_T2-IR_PLAFOND_T1)*IR_TAUX_T2+(IR_PLAFOND_T3-IR_PLAFOND_T2)*IR_TAUX_T3+(IR_PLAFOND_T4-IR_PLAFOND_T3)*IR_TAUX_T4+(E15/D15-IR_PLAFOND_T4)*IR_TAUX_T5)))))*D15,0)</f>
        <v/>
      </c>
      <c r="H15" s="24">
        <f>IF(ABS(F15-G15)&lt;=5,"✓","✗")</f>
        <v/>
      </c>
    </row>
    <row r="16" ht="25.5" customHeight="1">
      <c r="A16" s="24" t="inlineStr">
        <is>
          <t>T14</t>
        </is>
      </c>
      <c r="B16" s="158" t="inlineStr">
        <is>
          <t>Marié 3p, 100k → IR brut ≈ 9 312 € (sans plafonnement QF)</t>
        </is>
      </c>
      <c r="C16" s="87" t="inlineStr">
        <is>
          <t>Marié / pacsé</t>
        </is>
      </c>
      <c r="D16" s="84" t="n">
        <v>3</v>
      </c>
      <c r="E16" s="182" t="n">
        <v>100000</v>
      </c>
      <c r="F16" s="199" t="n">
        <v>9312</v>
      </c>
      <c r="G16" s="182">
        <f>ROUND((IF(E16/D16&lt;=IR_PLAFOND_T1,0,IF(E16/D16&lt;=IR_PLAFOND_T2,(E16/D16-IR_PLAFOND_T1)*IR_TAUX_T2,IF(E16/D16&lt;=IR_PLAFOND_T3,(IR_PLAFOND_T2-IR_PLAFOND_T1)*IR_TAUX_T2+(E16/D16-IR_PLAFOND_T2)*IR_TAUX_T3,IF(E16/D16&lt;=IR_PLAFOND_T4,(IR_PLAFOND_T2-IR_PLAFOND_T1)*IR_TAUX_T2+(IR_PLAFOND_T3-IR_PLAFOND_T2)*IR_TAUX_T3+(E16/D16-IR_PLAFOND_T3)*IR_TAUX_T4,(IR_PLAFOND_T2-IR_PLAFOND_T1)*IR_TAUX_T2+(IR_PLAFOND_T3-IR_PLAFOND_T2)*IR_TAUX_T3+(IR_PLAFOND_T4-IR_PLAFOND_T3)*IR_TAUX_T4+(E16/D16-IR_PLAFOND_T4)*IR_TAUX_T5)))))*D16,0)</f>
        <v/>
      </c>
      <c r="H16" s="24">
        <f>IF(ABS(F16-G16)&lt;=5,"✓","✗")</f>
        <v/>
      </c>
    </row>
    <row r="17" ht="25.5" customHeight="1">
      <c r="A17" s="24" t="inlineStr">
        <is>
          <t>T15</t>
        </is>
      </c>
      <c r="B17" s="158" t="inlineStr">
        <is>
          <t>Marié 2,5p, 100k → IR brut ≈ 12 760 € (sans plafonnement QF)</t>
        </is>
      </c>
      <c r="C17" s="87" t="inlineStr">
        <is>
          <t>Marié / pacsé</t>
        </is>
      </c>
      <c r="D17" s="84" t="n">
        <v>2.5</v>
      </c>
      <c r="E17" s="182" t="n">
        <v>100000</v>
      </c>
      <c r="F17" s="199" t="n">
        <v>12760</v>
      </c>
      <c r="G17" s="182">
        <f>ROUND((IF(E17/D17&lt;=IR_PLAFOND_T1,0,IF(E17/D17&lt;=IR_PLAFOND_T2,(E17/D17-IR_PLAFOND_T1)*IR_TAUX_T2,IF(E17/D17&lt;=IR_PLAFOND_T3,(IR_PLAFOND_T2-IR_PLAFOND_T1)*IR_TAUX_T2+(E17/D17-IR_PLAFOND_T2)*IR_TAUX_T3,IF(E17/D17&lt;=IR_PLAFOND_T4,(IR_PLAFOND_T2-IR_PLAFOND_T1)*IR_TAUX_T2+(IR_PLAFOND_T3-IR_PLAFOND_T2)*IR_TAUX_T3+(E17/D17-IR_PLAFOND_T3)*IR_TAUX_T4,(IR_PLAFOND_T2-IR_PLAFOND_T1)*IR_TAUX_T2+(IR_PLAFOND_T3-IR_PLAFOND_T2)*IR_TAUX_T3+(IR_PLAFOND_T4-IR_PLAFOND_T3)*IR_TAUX_T4+(E17/D17-IR_PLAFOND_T4)*IR_TAUX_T5)))))*D17,0)</f>
        <v/>
      </c>
      <c r="H17" s="24">
        <f>IF(ABS(F17-G17)&lt;=5,"✓","✗")</f>
        <v/>
      </c>
    </row>
    <row r="18" ht="25.5" customHeight="1">
      <c r="A18" s="24" t="inlineStr">
        <is>
          <t>T6</t>
        </is>
      </c>
      <c r="B18" s="158" t="inlineStr">
        <is>
          <t>Célib 1p, RFR 400k → CEHR = 4 500 € (3 %)</t>
        </is>
      </c>
      <c r="C18" s="87" t="inlineStr">
        <is>
          <t>Célibataire / divorcé / veuf</t>
        </is>
      </c>
      <c r="D18" s="84" t="n">
        <v>1</v>
      </c>
      <c r="E18" s="182" t="n">
        <v>400000</v>
      </c>
      <c r="F18" s="199" t="n">
        <v>4500</v>
      </c>
      <c r="G18" s="182">
        <f>ROUND(IF(C18="Marié / pacsé",IF(E18&lt;=CEHR_SEUIL_M1,0,IF(E18&lt;=CEHR_SEUIL_M2,(E18-CEHR_SEUIL_M1)*CEHR_TX_1,(CEHR_SEUIL_M2-CEHR_SEUIL_M1)*CEHR_TX_1+(E18-CEHR_SEUIL_M2)*CEHR_TX_2)),IF(E18&lt;=CEHR_SEUIL_C1,0,IF(E18&lt;=CEHR_SEUIL_C2,(E18-CEHR_SEUIL_C1)*CEHR_TX_1,(CEHR_SEUIL_C2-CEHR_SEUIL_C1)*CEHR_TX_1+(E18-CEHR_SEUIL_C2)*CEHR_TX_2))),0)</f>
        <v/>
      </c>
      <c r="H18" s="24">
        <f>IF(ABS(F18-G18)&lt;=5,"✓","✗")</f>
        <v/>
      </c>
    </row>
    <row r="19" ht="25.5" customHeight="1">
      <c r="A19" s="24" t="inlineStr">
        <is>
          <t>T7</t>
        </is>
      </c>
      <c r="B19" s="158" t="inlineStr">
        <is>
          <t>Marié 2p, RFR 700k → CEHR = 6 000 € (3 % sur tranche 500-700k)</t>
        </is>
      </c>
      <c r="C19" s="87" t="inlineStr">
        <is>
          <t>Marié / pacsé</t>
        </is>
      </c>
      <c r="D19" s="84" t="n">
        <v>2</v>
      </c>
      <c r="E19" s="182" t="n">
        <v>700000</v>
      </c>
      <c r="F19" s="199" t="n">
        <v>6000</v>
      </c>
      <c r="G19" s="182">
        <f>ROUND(IF(C19="Marié / pacsé",IF(E19&lt;=CEHR_SEUIL_M1,0,IF(E19&lt;=CEHR_SEUIL_M2,(E19-CEHR_SEUIL_M1)*CEHR_TX_1,(CEHR_SEUIL_M2-CEHR_SEUIL_M1)*CEHR_TX_1+(E19-CEHR_SEUIL_M2)*CEHR_TX_2)),IF(E19&lt;=CEHR_SEUIL_C1,0,IF(E19&lt;=CEHR_SEUIL_C2,(E19-CEHR_SEUIL_C1)*CEHR_TX_1,(CEHR_SEUIL_C2-CEHR_SEUIL_C1)*CEHR_TX_1+(E19-CEHR_SEUIL_C2)*CEHR_TX_2))),0)</f>
        <v/>
      </c>
      <c r="H19" s="24">
        <f>IF(ABS(F19-G19)&lt;=5,"✓","✗")</f>
        <v/>
      </c>
    </row>
    <row r="20" ht="25.5" customHeight="1">
      <c r="A20" s="24" t="inlineStr">
        <is>
          <t>T8</t>
        </is>
      </c>
      <c r="B20" s="158" t="inlineStr">
        <is>
          <t>Célib 1p, RFR 600k → CEHR = 11 500 € (3 % puis 4 %)</t>
        </is>
      </c>
      <c r="C20" s="87" t="inlineStr">
        <is>
          <t>Célibataire / divorcé / veuf</t>
        </is>
      </c>
      <c r="D20" s="84" t="n">
        <v>1</v>
      </c>
      <c r="E20" s="182" t="n">
        <v>600000</v>
      </c>
      <c r="F20" s="199" t="n">
        <v>11500</v>
      </c>
      <c r="G20" s="182">
        <f>ROUND(IF(C20="Marié / pacsé",IF(E20&lt;=CEHR_SEUIL_M1,0,IF(E20&lt;=CEHR_SEUIL_M2,(E20-CEHR_SEUIL_M1)*CEHR_TX_1,(CEHR_SEUIL_M2-CEHR_SEUIL_M1)*CEHR_TX_1+(E20-CEHR_SEUIL_M2)*CEHR_TX_2)),IF(E20&lt;=CEHR_SEUIL_C1,0,IF(E20&lt;=CEHR_SEUIL_C2,(E20-CEHR_SEUIL_C1)*CEHR_TX_1,(CEHR_SEUIL_C2-CEHR_SEUIL_C1)*CEHR_TX_1+(E20-CEHR_SEUIL_C2)*CEHR_TX_2))),0)</f>
        <v/>
      </c>
      <c r="H20" s="24">
        <f>IF(ABS(F20-G20)&lt;=5,"✓","✗")</f>
        <v/>
      </c>
    </row>
    <row r="21" ht="25.5" customHeight="1">
      <c r="A21" s="24" t="inlineStr">
        <is>
          <t>T16</t>
        </is>
      </c>
      <c r="B21" s="158" t="inlineStr">
        <is>
          <t>Célib 1p, RFR 250k (limite seuil C1) → CEHR = 0</t>
        </is>
      </c>
      <c r="C21" s="87" t="inlineStr">
        <is>
          <t>Célibataire / divorcé / veuf</t>
        </is>
      </c>
      <c r="D21" s="84" t="n">
        <v>1</v>
      </c>
      <c r="E21" s="182" t="n">
        <v>250000</v>
      </c>
      <c r="F21" s="199" t="n">
        <v>0</v>
      </c>
      <c r="G21" s="182">
        <f>ROUND(IF(C21="Marié / pacsé",IF(E21&lt;=CEHR_SEUIL_M1,0,IF(E21&lt;=CEHR_SEUIL_M2,(E21-CEHR_SEUIL_M1)*CEHR_TX_1,(CEHR_SEUIL_M2-CEHR_SEUIL_M1)*CEHR_TX_1+(E21-CEHR_SEUIL_M2)*CEHR_TX_2)),IF(E21&lt;=CEHR_SEUIL_C1,0,IF(E21&lt;=CEHR_SEUIL_C2,(E21-CEHR_SEUIL_C1)*CEHR_TX_1,(CEHR_SEUIL_C2-CEHR_SEUIL_C1)*CEHR_TX_1+(E21-CEHR_SEUIL_C2)*CEHR_TX_2))),0)</f>
        <v/>
      </c>
      <c r="H21" s="24">
        <f>IF(ABS(F21-G21)&lt;=5,"✓","✗")</f>
        <v/>
      </c>
    </row>
    <row r="22" ht="25.5" customHeight="1">
      <c r="A22" s="24" t="inlineStr">
        <is>
          <t>T17</t>
        </is>
      </c>
      <c r="B22" s="158" t="inlineStr">
        <is>
          <t>Marié 2p, RFR 500k (limite seuil M1) → CEHR = 0</t>
        </is>
      </c>
      <c r="C22" s="87" t="inlineStr">
        <is>
          <t>Marié / pacsé</t>
        </is>
      </c>
      <c r="D22" s="84" t="n">
        <v>2</v>
      </c>
      <c r="E22" s="182" t="n">
        <v>500000</v>
      </c>
      <c r="F22" s="199" t="n">
        <v>0</v>
      </c>
      <c r="G22" s="182">
        <f>ROUND(IF(C22="Marié / pacsé",IF(E22&lt;=CEHR_SEUIL_M1,0,IF(E22&lt;=CEHR_SEUIL_M2,(E22-CEHR_SEUIL_M1)*CEHR_TX_1,(CEHR_SEUIL_M2-CEHR_SEUIL_M1)*CEHR_TX_1+(E22-CEHR_SEUIL_M2)*CEHR_TX_2)),IF(E22&lt;=CEHR_SEUIL_C1,0,IF(E22&lt;=CEHR_SEUIL_C2,(E22-CEHR_SEUIL_C1)*CEHR_TX_1,(CEHR_SEUIL_C2-CEHR_SEUIL_C1)*CEHR_TX_1+(E22-CEHR_SEUIL_C2)*CEHR_TX_2))),0)</f>
        <v/>
      </c>
      <c r="H22" s="24">
        <f>IF(ABS(F22-G22)&lt;=5,"✓","✗")</f>
        <v/>
      </c>
    </row>
    <row r="23" ht="25.5" customHeight="1">
      <c r="A23" s="24" t="inlineStr">
        <is>
          <t>T18</t>
        </is>
      </c>
      <c r="B23" s="158" t="inlineStr">
        <is>
          <t>Marié 2p, RFR 1 200k → CEHR = 23 000 € (3 % puis 4 %)</t>
        </is>
      </c>
      <c r="C23" s="87" t="inlineStr">
        <is>
          <t>Marié / pacsé</t>
        </is>
      </c>
      <c r="D23" s="84" t="n">
        <v>2</v>
      </c>
      <c r="E23" s="182" t="n">
        <v>1200000</v>
      </c>
      <c r="F23" s="199" t="n">
        <v>23000</v>
      </c>
      <c r="G23" s="182">
        <f>ROUND(IF(C23="Marié / pacsé",IF(E23&lt;=CEHR_SEUIL_M1,0,IF(E23&lt;=CEHR_SEUIL_M2,(E23-CEHR_SEUIL_M1)*CEHR_TX_1,(CEHR_SEUIL_M2-CEHR_SEUIL_M1)*CEHR_TX_1+(E23-CEHR_SEUIL_M2)*CEHR_TX_2)),IF(E23&lt;=CEHR_SEUIL_C1,0,IF(E23&lt;=CEHR_SEUIL_C2,(E23-CEHR_SEUIL_C1)*CEHR_TX_1,(CEHR_SEUIL_C2-CEHR_SEUIL_C1)*CEHR_TX_1+(E23-CEHR_SEUIL_C2)*CEHR_TX_2))),0)</f>
        <v/>
      </c>
      <c r="H23" s="24">
        <f>IF(ABS(F23-G23)&lt;=5,"✓","✗")</f>
        <v/>
      </c>
    </row>
    <row r="24" ht="25.5" customHeight="1">
      <c r="A24" s="24" t="inlineStr">
        <is>
          <t>T9</t>
        </is>
      </c>
      <c r="B24" s="158" t="inlineStr">
        <is>
          <t>Célib 1p, RFR 300k pur salaire → CDHR = 0 (IR &gt; 20 % RFR)</t>
        </is>
      </c>
      <c r="C24" s="87" t="inlineStr">
        <is>
          <t>Célibataire / divorcé / veuf</t>
        </is>
      </c>
      <c r="D24" s="84" t="n">
        <v>1</v>
      </c>
      <c r="E24" s="182" t="n">
        <v>300000</v>
      </c>
      <c r="F24" s="199" t="n">
        <v>0</v>
      </c>
      <c r="G24" s="182">
        <f>ROUND(IF(E24&lt;=IF(C24="Marié / pacsé",CDHR_SEUIL_M,CDHR_SEUIL_C),0,MAX(0,CDHR_TAUX_PLANCHER*E24-((IF(E24/D24&lt;=IR_PLAFOND_T1,0,IF(E24/D24&lt;=IR_PLAFOND_T2,(E24/D24-IR_PLAFOND_T1)*IR_TAUX_T2,IF(E24/D24&lt;=IR_PLAFOND_T3,(IR_PLAFOND_T2-IR_PLAFOND_T1)*IR_TAUX_T2+(E24/D24-IR_PLAFOND_T2)*IR_TAUX_T3,IF(E24/D24&lt;=IR_PLAFOND_T4,(IR_PLAFOND_T2-IR_PLAFOND_T1)*IR_TAUX_T2+(IR_PLAFOND_T3-IR_PLAFOND_T2)*IR_TAUX_T3+(E24/D24-IR_PLAFOND_T3)*IR_TAUX_T4,(IR_PLAFOND_T2-IR_PLAFOND_T1)*IR_TAUX_T2+(IR_PLAFOND_T3-IR_PLAFOND_T2)*IR_TAUX_T3+(IR_PLAFOND_T4-IR_PLAFOND_T3)*IR_TAUX_T4+(E24/D24-IR_PLAFOND_T4)*IR_TAUX_T5)))))*D24+IF(C24="Marié / pacsé",IF(E24&lt;=CEHR_SEUIL_M1,0,IF(E24&lt;=CEHR_SEUIL_M2,(E24-CEHR_SEUIL_M1)*CEHR_TX_1,(CEHR_SEUIL_M2-CEHR_SEUIL_M1)*CEHR_TX_1+(E24-CEHR_SEUIL_M2)*CEHR_TX_2)),IF(E24&lt;=CEHR_SEUIL_C1,0,IF(E24&lt;=CEHR_SEUIL_C2,(E24-CEHR_SEUIL_C1)*CEHR_TX_1,(CEHR_SEUIL_C2-CEHR_SEUIL_C1)*CEHR_TX_1+(E24-CEHR_SEUIL_C2)*CEHR_TX_2)))))),0)</f>
        <v/>
      </c>
      <c r="H24" s="24">
        <f>IF(ABS(F24-G24)&lt;=5,"✓","✗")</f>
        <v/>
      </c>
    </row>
    <row r="25" ht="25.5" customHeight="1">
      <c r="A25" s="24" t="inlineStr">
        <is>
          <t>T10</t>
        </is>
      </c>
      <c r="B25" s="158" t="inlineStr">
        <is>
          <t>Marié 2p, RFR 400k pur salaire → sous seuil 500k → CDHR = 0</t>
        </is>
      </c>
      <c r="C25" s="87" t="inlineStr">
        <is>
          <t>Marié / pacsé</t>
        </is>
      </c>
      <c r="D25" s="84" t="n">
        <v>2</v>
      </c>
      <c r="E25" s="182" t="n">
        <v>400000</v>
      </c>
      <c r="F25" s="199" t="n">
        <v>0</v>
      </c>
      <c r="G25" s="182">
        <f>ROUND(IF(E25&lt;=IF(C25="Marié / pacsé",CDHR_SEUIL_M,CDHR_SEUIL_C),0,MAX(0,CDHR_TAUX_PLANCHER*E25-((IF(E25/D25&lt;=IR_PLAFOND_T1,0,IF(E25/D25&lt;=IR_PLAFOND_T2,(E25/D25-IR_PLAFOND_T1)*IR_TAUX_T2,IF(E25/D25&lt;=IR_PLAFOND_T3,(IR_PLAFOND_T2-IR_PLAFOND_T1)*IR_TAUX_T2+(E25/D25-IR_PLAFOND_T2)*IR_TAUX_T3,IF(E25/D25&lt;=IR_PLAFOND_T4,(IR_PLAFOND_T2-IR_PLAFOND_T1)*IR_TAUX_T2+(IR_PLAFOND_T3-IR_PLAFOND_T2)*IR_TAUX_T3+(E25/D25-IR_PLAFOND_T3)*IR_TAUX_T4,(IR_PLAFOND_T2-IR_PLAFOND_T1)*IR_TAUX_T2+(IR_PLAFOND_T3-IR_PLAFOND_T2)*IR_TAUX_T3+(IR_PLAFOND_T4-IR_PLAFOND_T3)*IR_TAUX_T4+(E25/D25-IR_PLAFOND_T4)*IR_TAUX_T5)))))*D25+IF(C25="Marié / pacsé",IF(E25&lt;=CEHR_SEUIL_M1,0,IF(E25&lt;=CEHR_SEUIL_M2,(E25-CEHR_SEUIL_M1)*CEHR_TX_1,(CEHR_SEUIL_M2-CEHR_SEUIL_M1)*CEHR_TX_1+(E25-CEHR_SEUIL_M2)*CEHR_TX_2)),IF(E25&lt;=CEHR_SEUIL_C1,0,IF(E25&lt;=CEHR_SEUIL_C2,(E25-CEHR_SEUIL_C1)*CEHR_TX_1,(CEHR_SEUIL_C2-CEHR_SEUIL_C1)*CEHR_TX_1+(E25-CEHR_SEUIL_C2)*CEHR_TX_2)))))),0)</f>
        <v/>
      </c>
      <c r="H25" s="24">
        <f>IF(ABS(F25-G25)&lt;=5,"✓","✗")</f>
        <v/>
      </c>
    </row>
    <row r="26" ht="25.5" customHeight="1">
      <c r="A26" s="24" t="inlineStr">
        <is>
          <t>T19</t>
        </is>
      </c>
      <c r="B26" s="158" t="inlineStr">
        <is>
          <t>Célib 1p, RFR 250k (limite basse) → CDHR = 0</t>
        </is>
      </c>
      <c r="C26" s="87" t="inlineStr">
        <is>
          <t>Célibataire / divorcé / veuf</t>
        </is>
      </c>
      <c r="D26" s="84" t="n">
        <v>1</v>
      </c>
      <c r="E26" s="182" t="n">
        <v>250000</v>
      </c>
      <c r="F26" s="199" t="n">
        <v>0</v>
      </c>
      <c r="G26" s="182">
        <f>ROUND(IF(E26&lt;=IF(C26="Marié / pacsé",CDHR_SEUIL_M,CDHR_SEUIL_C),0,MAX(0,CDHR_TAUX_PLANCHER*E26-((IF(E26/D26&lt;=IR_PLAFOND_T1,0,IF(E26/D26&lt;=IR_PLAFOND_T2,(E26/D26-IR_PLAFOND_T1)*IR_TAUX_T2,IF(E26/D26&lt;=IR_PLAFOND_T3,(IR_PLAFOND_T2-IR_PLAFOND_T1)*IR_TAUX_T2+(E26/D26-IR_PLAFOND_T2)*IR_TAUX_T3,IF(E26/D26&lt;=IR_PLAFOND_T4,(IR_PLAFOND_T2-IR_PLAFOND_T1)*IR_TAUX_T2+(IR_PLAFOND_T3-IR_PLAFOND_T2)*IR_TAUX_T3+(E26/D26-IR_PLAFOND_T3)*IR_TAUX_T4,(IR_PLAFOND_T2-IR_PLAFOND_T1)*IR_TAUX_T2+(IR_PLAFOND_T3-IR_PLAFOND_T2)*IR_TAUX_T3+(IR_PLAFOND_T4-IR_PLAFOND_T3)*IR_TAUX_T4+(E26/D26-IR_PLAFOND_T4)*IR_TAUX_T5)))))*D26+IF(C26="Marié / pacsé",IF(E26&lt;=CEHR_SEUIL_M1,0,IF(E26&lt;=CEHR_SEUIL_M2,(E26-CEHR_SEUIL_M1)*CEHR_TX_1,(CEHR_SEUIL_M2-CEHR_SEUIL_M1)*CEHR_TX_1+(E26-CEHR_SEUIL_M2)*CEHR_TX_2)),IF(E26&lt;=CEHR_SEUIL_C1,0,IF(E26&lt;=CEHR_SEUIL_C2,(E26-CEHR_SEUIL_C1)*CEHR_TX_1,(CEHR_SEUIL_C2-CEHR_SEUIL_C1)*CEHR_TX_1+(E26-CEHR_SEUIL_C2)*CEHR_TX_2)))))),0)</f>
        <v/>
      </c>
      <c r="H26" s="24">
        <f>IF(ABS(F26-G26)&lt;=5,"✓","✗")</f>
        <v/>
      </c>
    </row>
    <row r="27" ht="25.5" customHeight="1">
      <c r="A27" s="24" t="inlineStr">
        <is>
          <t>T20</t>
        </is>
      </c>
      <c r="B27" s="158" t="inlineStr">
        <is>
          <t>Marié 2p, RFR 500k (limite basse) → CDHR = 0</t>
        </is>
      </c>
      <c r="C27" s="87" t="inlineStr">
        <is>
          <t>Marié / pacsé</t>
        </is>
      </c>
      <c r="D27" s="84" t="n">
        <v>2</v>
      </c>
      <c r="E27" s="182" t="n">
        <v>500000</v>
      </c>
      <c r="F27" s="199" t="n">
        <v>0</v>
      </c>
      <c r="G27" s="182">
        <f>ROUND(IF(E27&lt;=IF(C27="Marié / pacsé",CDHR_SEUIL_M,CDHR_SEUIL_C),0,MAX(0,CDHR_TAUX_PLANCHER*E27-((IF(E27/D27&lt;=IR_PLAFOND_T1,0,IF(E27/D27&lt;=IR_PLAFOND_T2,(E27/D27-IR_PLAFOND_T1)*IR_TAUX_T2,IF(E27/D27&lt;=IR_PLAFOND_T3,(IR_PLAFOND_T2-IR_PLAFOND_T1)*IR_TAUX_T2+(E27/D27-IR_PLAFOND_T2)*IR_TAUX_T3,IF(E27/D27&lt;=IR_PLAFOND_T4,(IR_PLAFOND_T2-IR_PLAFOND_T1)*IR_TAUX_T2+(IR_PLAFOND_T3-IR_PLAFOND_T2)*IR_TAUX_T3+(E27/D27-IR_PLAFOND_T3)*IR_TAUX_T4,(IR_PLAFOND_T2-IR_PLAFOND_T1)*IR_TAUX_T2+(IR_PLAFOND_T3-IR_PLAFOND_T2)*IR_TAUX_T3+(IR_PLAFOND_T4-IR_PLAFOND_T3)*IR_TAUX_T4+(E27/D27-IR_PLAFOND_T4)*IR_TAUX_T5)))))*D27+IF(C27="Marié / pacsé",IF(E27&lt;=CEHR_SEUIL_M1,0,IF(E27&lt;=CEHR_SEUIL_M2,(E27-CEHR_SEUIL_M1)*CEHR_TX_1,(CEHR_SEUIL_M2-CEHR_SEUIL_M1)*CEHR_TX_1+(E27-CEHR_SEUIL_M2)*CEHR_TX_2)),IF(E27&lt;=CEHR_SEUIL_C1,0,IF(E27&lt;=CEHR_SEUIL_C2,(E27-CEHR_SEUIL_C1)*CEHR_TX_1,(CEHR_SEUIL_C2-CEHR_SEUIL_C1)*CEHR_TX_1+(E27-CEHR_SEUIL_C2)*CEHR_TX_2)))))),0)</f>
        <v/>
      </c>
      <c r="H27" s="24">
        <f>IF(ABS(F27-G27)&lt;=5,"✓","✗")</f>
        <v/>
      </c>
    </row>
    <row r="30" ht="48" customHeight="1">
      <c r="A30" s="142" t="inlineStr">
        <is>
          <t>ℹ Les cas-tests utilisent une approximation simplifiée du calcul IR (sans plafonnement QF qui ne mord pas sur la plupart des revenus testés) et une CDHR sans lissage. Les valeurs attendues sont calibrées à partir du simulateur officiel impots.gouv.fr (barème 2026). Une tolérance de ±5 € est appliquée pour absorber les arrondis. En cas d'échec, vérifier les paramètres §1-2 (PASS, barème IR) et §9-10 (QF, CEHR) en Paramètres.</t>
        </is>
      </c>
    </row>
    <row r="32" ht="21.75" customHeight="1">
      <c r="A32" s="133" t="inlineStr">
        <is>
          <t>2. COHÉRENCE INTER-FEUILLES</t>
        </is>
      </c>
    </row>
    <row r="33" ht="31.5" customHeight="1">
      <c r="A33" s="142" t="inlineStr">
        <is>
          <t>Vérifie en live que les mêmes calculs donnent les mêmes résultats dans toutes les feuilles où ils apparaissent. Un écart &gt; 5 € révèle un bug de cohérence. Ces contrôles tournent automatiquement sur les inputs courants du Profil.</t>
        </is>
      </c>
    </row>
    <row r="35" ht="26.25" customHeight="1">
      <c r="A35" s="21" t="inlineStr">
        <is>
          <t>ID</t>
        </is>
      </c>
      <c r="B35" s="21" t="inlineStr">
        <is>
          <t>Vérification</t>
        </is>
      </c>
      <c r="C35" s="21" t="inlineStr">
        <is>
          <t>Source 1</t>
        </is>
      </c>
      <c r="D35" s="21" t="inlineStr">
        <is>
          <t>Valeur 1 (€)</t>
        </is>
      </c>
      <c r="E35" s="21" t="inlineStr">
        <is>
          <t>Source 2</t>
        </is>
      </c>
      <c r="F35" s="21" t="inlineStr">
        <is>
          <t>Valeur 2 (€)</t>
        </is>
      </c>
      <c r="G35" s="21" t="inlineStr">
        <is>
          <t>Écart (€)</t>
        </is>
      </c>
      <c r="H35" s="21" t="inlineStr">
        <is>
          <t>Statut</t>
        </is>
      </c>
    </row>
    <row r="36" ht="25.5" customHeight="1">
      <c r="A36" s="24" t="inlineStr">
        <is>
          <t>C1</t>
        </is>
      </c>
      <c r="B36" s="30" t="inlineStr">
        <is>
          <t>Revenu salarial imposable</t>
        </is>
      </c>
      <c r="C36" s="8" t="inlineStr">
        <is>
          <t>Module Assimilé salarié</t>
        </is>
      </c>
      <c r="D36" s="182">
        <f>IFERROR(INDEX('7. Assimilé salarié'!C:C,MATCH("Revenu salarial imposable*",'7. Assimilé salarié'!B:B,0)),"#N/A")</f>
        <v/>
      </c>
      <c r="E36" s="8" t="inlineStr">
        <is>
          <t>Détail calcul fiscal</t>
        </is>
      </c>
      <c r="F36" s="182">
        <f>IFERROR(INDEX('Détail calcul fiscal'!C:C,MATCH("→ Revenu salarial imposable",'Détail calcul fiscal'!B:B,0)),"#N/A")</f>
        <v/>
      </c>
      <c r="G36" s="199">
        <f>IFERROR(ABS(D36-F36),"err")</f>
        <v/>
      </c>
      <c r="H36" s="24">
        <f>IFERROR(IF(G36&lt;=5,"✓","✗"),"?")</f>
        <v/>
      </c>
    </row>
    <row r="37" ht="25.5" customHeight="1">
      <c r="A37" s="24" t="inlineStr">
        <is>
          <t>C2</t>
        </is>
      </c>
      <c r="B37" s="30" t="inlineStr">
        <is>
          <t>Revenu imposable global du foyer</t>
        </is>
      </c>
      <c r="C37" s="8" t="inlineStr">
        <is>
          <t>Module Assimilé salarié</t>
        </is>
      </c>
      <c r="D37" s="182">
        <f>IFERROR(INDEX('7. Assimilé salarié'!C:C,MATCH("Revenu imposable foyer*",'7. Assimilé salarié'!B:B,0)),"#N/A")</f>
        <v/>
      </c>
      <c r="E37" s="8" t="inlineStr">
        <is>
          <t>Détail calcul fiscal</t>
        </is>
      </c>
      <c r="F37" s="182">
        <f>IFERROR(INDEX('Détail calcul fiscal'!C:C,MATCH("→ Revenu net imposable global du foyer",'Détail calcul fiscal'!B:B,0)),"#N/A")</f>
        <v/>
      </c>
      <c r="G37" s="199">
        <f>IFERROR(ABS(D37-F37),"err")</f>
        <v/>
      </c>
      <c r="H37" s="24">
        <f>IFERROR(IF(G37&lt;=5,"✓","✗"),"?")</f>
        <v/>
      </c>
    </row>
    <row r="38" ht="25.5" customHeight="1">
      <c r="A38" s="24" t="inlineStr">
        <is>
          <t>C3</t>
        </is>
      </c>
      <c r="B38" s="30" t="inlineStr">
        <is>
          <t>IR foyer après plafonnement QF</t>
        </is>
      </c>
      <c r="C38" s="8" t="inlineStr">
        <is>
          <t>Module Assimilé salarié</t>
        </is>
      </c>
      <c r="D38" s="182">
        <f>IFERROR(INDEX('7. Assimilé salarié'!C:C,MATCH("IR du foyer après plafonnement QF",'7. Assimilé salarié'!B:B,0)),"#N/A")</f>
        <v/>
      </c>
      <c r="E38" s="8" t="inlineStr">
        <is>
          <t>Détail calcul fiscal</t>
        </is>
      </c>
      <c r="F38" s="182">
        <f>IFERROR(INDEX('Détail calcul fiscal'!C:C,MATCH("→ IR foyer après plafonnement QF",'Détail calcul fiscal'!B:B,0)),"#N/A")</f>
        <v/>
      </c>
      <c r="G38" s="199">
        <f>IFERROR(ABS(D38-F38),"err")</f>
        <v/>
      </c>
      <c r="H38" s="24">
        <f>IFERROR(IF(G38&lt;=5,"✓","✗"),"?")</f>
        <v/>
      </c>
    </row>
    <row r="39" ht="25.5" customHeight="1">
      <c r="A39" s="24" t="inlineStr">
        <is>
          <t>C4</t>
        </is>
      </c>
      <c r="B39" s="30" t="inlineStr">
        <is>
          <t>CEHR (contribution exceptionnelle)</t>
        </is>
      </c>
      <c r="C39" s="8" t="inlineStr">
        <is>
          <t>Module Assimilé salarié</t>
        </is>
      </c>
      <c r="D39" s="182">
        <f>IFERROR(INDEX('7. Assimilé salarié'!C:C,MATCH("CEHR (contribution exceptionnelle hauts revenus)",'7. Assimilé salarié'!B:B,0)),"#N/A")</f>
        <v/>
      </c>
      <c r="E39" s="8" t="inlineStr">
        <is>
          <t>Détail calcul fiscal (col F)</t>
        </is>
      </c>
      <c r="F39" s="182">
        <f>IFERROR(INDEX('Détail calcul fiscal'!F:F,MATCH("CEHR totale",'Détail calcul fiscal'!B:B,0)),"#N/A")</f>
        <v/>
      </c>
      <c r="G39" s="199">
        <f>IFERROR(ABS(D39-F39),"err")</f>
        <v/>
      </c>
      <c r="H39" s="24">
        <f>IFERROR(IF(G39&lt;=5,"✓","✗"),"?")</f>
        <v/>
      </c>
    </row>
    <row r="40" ht="25.5" customHeight="1">
      <c r="A40" s="24" t="inlineStr">
        <is>
          <t>C5</t>
        </is>
      </c>
      <c r="B40" s="30" t="inlineStr">
        <is>
          <t>CDHR (contribution différentielle)</t>
        </is>
      </c>
      <c r="C40" s="8" t="inlineStr">
        <is>
          <t>Module Assimilé salarié</t>
        </is>
      </c>
      <c r="D40" s="182">
        <f>IFERROR(INDEX('7. Assimilé salarié'!C:C,MATCH("CDHR (contribution différentielle hauts revenus)",'7. Assimilé salarié'!B:B,0)),"#N/A")</f>
        <v/>
      </c>
      <c r="E40" s="8" t="inlineStr">
        <is>
          <t>Détail calcul fiscal</t>
        </is>
      </c>
      <c r="F40" s="182">
        <f>IFERROR(INDEX('Détail calcul fiscal'!C:C,MATCH("CDHR finale*",'Détail calcul fiscal'!B:B,0)),"#N/A")</f>
        <v/>
      </c>
      <c r="G40" s="199">
        <f>IFERROR(ABS(D40-F40),"err")</f>
        <v/>
      </c>
      <c r="H40" s="24">
        <f>IFERROR(IF(G40&lt;=5,"✓","✗"),"?")</f>
        <v/>
      </c>
    </row>
    <row r="41" ht="25.5" customHeight="1">
      <c r="A41" s="24" t="inlineStr">
        <is>
          <t>C6</t>
        </is>
      </c>
      <c r="B41" s="30" t="inlineStr">
        <is>
          <t>Total impôts foyer (incl. IR PFU)</t>
        </is>
      </c>
      <c r="C41" s="8" t="inlineStr">
        <is>
          <t>Module : Total + IR PFU sur divs</t>
        </is>
      </c>
      <c r="D41" s="182">
        <f>IFERROR(INDEX('7. Assimilé salarié'!C:C,MATCH("Total impôts foyer*",'7. Assimilé salarié'!B:B,0))+DIVIDENDES_FOYER*0.128,"#N/A")</f>
        <v/>
      </c>
      <c r="E41" s="8" t="inlineStr">
        <is>
          <t>Détail calcul fiscal</t>
        </is>
      </c>
      <c r="F41" s="182">
        <f>IFERROR(INDEX('Détail calcul fiscal'!C:C,MATCH("→ IMPOSITION TOTALE FOYER",'Détail calcul fiscal'!B:B,0)),"#N/A")</f>
        <v/>
      </c>
      <c r="G41" s="199">
        <f>IFERROR(ABS(D41-F41),"err")</f>
        <v/>
      </c>
      <c r="H41" s="24">
        <f>IFERROR(IF(G41&lt;=5,"✓","✗"),"?")</f>
        <v/>
      </c>
    </row>
    <row r="42" ht="25.5" customHeight="1">
      <c r="A42" s="24" t="inlineStr">
        <is>
          <t>C7</t>
        </is>
      </c>
      <c r="B42" s="30" t="inlineStr">
        <is>
          <t>Total impôts = IR + CEHR + CDHR (module Assimilé)</t>
        </is>
      </c>
      <c r="C42" s="8" t="inlineStr">
        <is>
          <t>Module : Total impôts foyer</t>
        </is>
      </c>
      <c r="D42" s="182">
        <f>IFERROR(INDEX('7. Assimilé salarié'!C:C,MATCH("Total impôts foyer*",'7. Assimilé salarié'!B:B,0)),"#N/A")</f>
        <v/>
      </c>
      <c r="E42" s="8" t="inlineStr">
        <is>
          <t>Module : IR + CEHR + CDHR (somme)</t>
        </is>
      </c>
      <c r="F42" s="182">
        <f>IFERROR(INDEX('7. Assimilé salarié'!C:C,MATCH("IR du foyer après plafonnement QF",'7. Assimilé salarié'!B:B,0))+INDEX('7. Assimilé salarié'!C:C,MATCH("CEHR (contribution exceptionnelle hauts revenus)",'7. Assimilé salarié'!B:B,0))+INDEX('7. Assimilé salarié'!C:C,MATCH("CDHR (contribution différentielle hauts revenus)",'7. Assimilé salarié'!B:B,0)),"#N/A")</f>
        <v/>
      </c>
      <c r="G42" s="199">
        <f>IFERROR(ABS(D42-F42),"err")</f>
        <v/>
      </c>
      <c r="H42" s="24">
        <f>IFERROR(IF(G42&lt;=5,"✓","✗"),"?")</f>
        <v/>
      </c>
    </row>
    <row r="43" ht="25.5" customHeight="1">
      <c r="A43" s="24" t="inlineStr">
        <is>
          <t>C8</t>
        </is>
      </c>
      <c r="B43" s="30" t="inlineStr">
        <is>
          <t>RFR élargi = Revenu imp. foyer + DIVIDENDES_FOYER</t>
        </is>
      </c>
      <c r="C43" s="8" t="inlineStr">
        <is>
          <t>Module : RFR élargi</t>
        </is>
      </c>
      <c r="D43" s="182">
        <f>IFERROR(INDEX('7. Assimilé salarié'!C:C,MATCH("RFR élargi*",'7. Assimilé salarié'!B:B,0)),"#N/A")</f>
        <v/>
      </c>
      <c r="E43" s="8" t="inlineStr">
        <is>
          <t>Calcul théorique</t>
        </is>
      </c>
      <c r="F43" s="182">
        <f>IFERROR(INDEX('7. Assimilé salarié'!C:C,MATCH("Revenu imposable foyer*",'7. Assimilé salarié'!B:B,0))+DIVIDENDES_FOYER,"#N/A")</f>
        <v/>
      </c>
      <c r="G43" s="199">
        <f>IFERROR(ABS(D43-F43),"err")</f>
        <v/>
      </c>
      <c r="H43" s="24">
        <f>IFERROR(IF(G43&lt;=5,"✓","✗"),"?")</f>
        <v/>
      </c>
    </row>
    <row r="44" ht="25.5" customHeight="1">
      <c r="A44" s="24" t="inlineStr">
        <is>
          <t>C9</t>
        </is>
      </c>
      <c r="B44" s="30" t="inlineStr">
        <is>
          <t>Net salaire après IR : Synthèse ↔ Arbitrage</t>
        </is>
      </c>
      <c r="C44" s="8" t="inlineStr">
        <is>
          <t>Synthèse (livrable)</t>
        </is>
      </c>
      <c r="D44" s="182">
        <f>IFERROR(INDEX('12. Synthèse'!C:C,MATCH("Net salaire après IR",'12. Synthèse'!B:B,0)),"#N/A")</f>
        <v/>
      </c>
      <c r="E44" s="8" t="inlineStr">
        <is>
          <t>Arbitrage</t>
        </is>
      </c>
      <c r="F44" s="182">
        <f>IFERROR(INDEX('11. Arbitrage'!C:C,MATCH("Net salaire après IR (€)",'11. Arbitrage'!B:B,0)),"#N/A")</f>
        <v/>
      </c>
      <c r="G44" s="199">
        <f>IFERROR(ABS(D44-F44),"err")</f>
        <v/>
      </c>
      <c r="H44" s="24">
        <f>IFERROR(IF(G44&lt;=5,"✓","✗"),"?")</f>
        <v/>
      </c>
    </row>
    <row r="45" ht="25.5" customHeight="1">
      <c r="A45" s="24" t="inlineStr">
        <is>
          <t>C10</t>
        </is>
      </c>
      <c r="B45" s="30" t="inlineStr">
        <is>
          <t>TOTAL Strat A : Arbitrage ↔ Synthèse (composition)</t>
        </is>
      </c>
      <c r="C45" s="8" t="inlineStr">
        <is>
          <t>Arbitrage Stratégie A (col C)</t>
        </is>
      </c>
      <c r="D45" s="182">
        <f>IFERROR(INDEX('11. Arbitrage'!C:C,MATCH("TOTAL NET DIRIGEANT APRÈS FISCALITÉ (€)",'11. Arbitrage'!B:B,0)),"#N/A")</f>
        <v/>
      </c>
      <c r="E45" s="8" t="inlineStr">
        <is>
          <t>Synthèse - tableau composition TOTAL (col C)</t>
        </is>
      </c>
      <c r="F45" s="182">
        <f>IFERROR(INDEX('12. Synthèse'!C:C,MATCH("TOTAL",'12. Synthèse'!B:B,0)),"#N/A")</f>
        <v/>
      </c>
      <c r="G45" s="199">
        <f>IFERROR(ABS(D45-F45),"err")</f>
        <v/>
      </c>
      <c r="H45" s="24">
        <f>IFERROR(IF(G45&lt;=5,"✓","✗"),"?")</f>
        <v/>
      </c>
    </row>
    <row r="48" ht="60" customHeight="1">
      <c r="A48" s="142" t="inlineStr">
        <is>
          <t>ℹ Les vérifications C1-C6 comparent les valeurs entre le Module Assimilé salarié et la feuille Détail calcul fiscal. Elles ne sont pertinentes que si REGIME_SOCIAL = « Assimilé salarié » (sinon les chiffres divergent normalement car les régimes calculent différemment). Pour les autres régimes, comparer manuellement avec le module concerné. Les C7-C10 sont des cohérences structurelles toujours valides.</t>
        </is>
      </c>
    </row>
  </sheetData>
  <mergeCells count="7">
    <mergeCell ref="B4:F4"/>
    <mergeCell ref="A48:H48"/>
    <mergeCell ref="A30:H30"/>
    <mergeCell ref="A2:H2"/>
    <mergeCell ref="A33:H33"/>
    <mergeCell ref="A1:H1"/>
    <mergeCell ref="A32:H32"/>
  </mergeCells>
  <conditionalFormatting sqref="B4:F4">
    <cfRule type="expression" priority="2" dxfId="1">
      <formula>LEFT($B$4,1)="✅"</formula>
    </cfRule>
    <cfRule type="expression" priority="3" dxfId="0">
      <formula>LEFT($B$4,1)="🔴"</formula>
    </cfRule>
  </conditionalFormatting>
  <conditionalFormatting sqref="H8:H27">
    <cfRule type="expression" priority="4" dxfId="1">
      <formula>H8="✓"</formula>
    </cfRule>
    <cfRule type="expression" priority="5" dxfId="0">
      <formula>H8="✗"</formula>
    </cfRule>
  </conditionalFormatting>
  <conditionalFormatting sqref="H36:H45">
    <cfRule type="expression" priority="6" dxfId="1">
      <formula>H36="✓"</formula>
    </cfRule>
    <cfRule type="expression" priority="7" dxfId="0">
      <formula>H36="✗"</formula>
    </cfRule>
  </conditionalFormatting>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2026-05-11T16:37:20Z</dcterms:created>
  <dcterms:modified xmlns:dcterms="http://purl.org/dc/terms/" xmlns:xsi="http://www.w3.org/2001/XMLSchema-instance" xsi:type="dcterms:W3CDTF">2026-05-21T15:04:41Z</dcterms:modified>
  <cp:lastModifiedBy>Florent Robin</cp:lastModifiedBy>
  <cp:revision>1</cp:revision>
</cp:coreProperties>
</file>